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Build-Out" sheetId="2" state="visible" r:id="rId4"/>
    <sheet name="Operating + Revenue" sheetId="3" state="visible" r:id="rId5"/>
    <sheet name="Monthly Cash Flow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<sst xmlns="http://schemas.openxmlformats.org/spreadsheetml/2006/main" count="245" uniqueCount="226">
  <si>
    <t xml:space="preserve">ARTEFAKT  —  Year One Budget Assumptions</t>
  </si>
  <si>
    <t xml:space="preserve">All figures in Canadian dollars.  Blue cells = inputs you can change.  All totals update automatically.</t>
  </si>
  <si>
    <t xml:space="preserve">LEASE &amp; OPERATING</t>
  </si>
  <si>
    <t xml:space="preserve">Item</t>
  </si>
  <si>
    <t xml:space="preserve">Value</t>
  </si>
  <si>
    <t xml:space="preserve">Notes</t>
  </si>
  <si>
    <t xml:space="preserve">Monthly rent (CAD)</t>
  </si>
  <si>
    <t xml:space="preserve">Negotiate — lower = better</t>
  </si>
  <si>
    <t xml:space="preserve">Rent-free months (build-out)</t>
  </si>
  <si>
    <t xml:space="preserve">Months</t>
  </si>
  <si>
    <t xml:space="preserve">Lease term (months)</t>
  </si>
  <si>
    <t xml:space="preserve">Year one</t>
  </si>
  <si>
    <t xml:space="preserve">Monthly electricity</t>
  </si>
  <si>
    <t xml:space="preserve">Industrial space estimate</t>
  </si>
  <si>
    <t xml:space="preserve">Monthly internet</t>
  </si>
  <si>
    <t xml:space="preserve">Commercial fibre</t>
  </si>
  <si>
    <t xml:space="preserve">Monthly insurance</t>
  </si>
  <si>
    <t xml:space="preserve">Commercial liability + contents</t>
  </si>
  <si>
    <t xml:space="preserve">Monthly accounting</t>
  </si>
  <si>
    <t xml:space="preserve">Bookkeeping + filing</t>
  </si>
  <si>
    <t xml:space="preserve">Monthly supplies</t>
  </si>
  <si>
    <t xml:space="preserve">Paper, cleaning, misc</t>
  </si>
  <si>
    <t xml:space="preserve">Monthly marketing / print</t>
  </si>
  <si>
    <t xml:space="preserve">Cards, posters, materials</t>
  </si>
  <si>
    <t xml:space="preserve">Substack fee rate</t>
  </si>
  <si>
    <t xml:space="preserve">10% of paid subscription revenue</t>
  </si>
  <si>
    <t xml:space="preserve">WORKSHOP</t>
  </si>
  <si>
    <t xml:space="preserve">Workshop participants</t>
  </si>
  <si>
    <t xml:space="preserve">Target cohort size</t>
  </si>
  <si>
    <t xml:space="preserve">Fee per participant (CAD)</t>
  </si>
  <si>
    <t xml:space="preserve">Conservative — could charge more</t>
  </si>
  <si>
    <t xml:space="preserve">Practitioner 1 travel + fee</t>
  </si>
  <si>
    <t xml:space="preserve">Danny — flights + hotel + honorarium</t>
  </si>
  <si>
    <t xml:space="preserve">Practitioner 2 travel + fee</t>
  </si>
  <si>
    <t xml:space="preserve">Dave — flights + hotel + honorarium</t>
  </si>
  <si>
    <t xml:space="preserve">Workshop materials + catering</t>
  </si>
  <si>
    <t xml:space="preserve">Print materials, snacks, supplies</t>
  </si>
  <si>
    <t xml:space="preserve">AFA grant (if awarded)</t>
  </si>
  <si>
    <t xml:space="preserve">Set to 0 if not including grant scenario</t>
  </si>
  <si>
    <t xml:space="preserve">SUBSCRIPTIONS</t>
  </si>
  <si>
    <t xml:space="preserve">Tier</t>
  </si>
  <si>
    <t xml:space="preserve">Rate/mo</t>
  </si>
  <si>
    <t xml:space="preserve">Avg subscribers</t>
  </si>
  <si>
    <t xml:space="preserve">Active months</t>
  </si>
  <si>
    <t xml:space="preserve">The Witness</t>
  </si>
  <si>
    <t xml:space="preserve">The Practitioner</t>
  </si>
  <si>
    <t xml:space="preserve">The Patron</t>
  </si>
  <si>
    <t xml:space="preserve">STUDIO RENTAL</t>
  </si>
  <si>
    <t xml:space="preserve">Day rental rate (CAD)</t>
  </si>
  <si>
    <t xml:space="preserve">Per day</t>
  </si>
  <si>
    <t xml:space="preserve">Rental days per month</t>
  </si>
  <si>
    <t xml:space="preserve">Conservative — 2 days/month</t>
  </si>
  <si>
    <t xml:space="preserve">Months of rental operation</t>
  </si>
  <si>
    <t xml:space="preserve">Months open for rental</t>
  </si>
  <si>
    <t xml:space="preserve">ARTEFAKT  —  Build-Out Budget</t>
  </si>
  <si>
    <t xml:space="preserve">Blue = input cells.  Change any number and totals update automatically.  All figures CAD.</t>
  </si>
  <si>
    <t xml:space="preserve">Category</t>
  </si>
  <si>
    <t xml:space="preserve">Low Est.</t>
  </si>
  <si>
    <t xml:space="preserve">High Est.</t>
  </si>
  <si>
    <t xml:space="preserve">Your Budget</t>
  </si>
  <si>
    <t xml:space="preserve">FLOORS</t>
  </si>
  <si>
    <t xml:space="preserve">Epoxy — main space (1,400 sq ft)</t>
  </si>
  <si>
    <t xml:space="preserve">1,400 sq ft · $4–$8/sq ft</t>
  </si>
  <si>
    <t xml:space="preserve">Epoxy — wet lab (200 sq ft)</t>
  </si>
  <si>
    <t xml:space="preserve">Water-resistant additive</t>
  </si>
  <si>
    <t xml:space="preserve">Floor prep + crack repair</t>
  </si>
  <si>
    <t xml:space="preserve">Grinding + patch before coat</t>
  </si>
  <si>
    <t xml:space="preserve">FLOORS SUBTOTAL</t>
  </si>
  <si>
    <t xml:space="preserve">LIGHTING</t>
  </si>
  <si>
    <t xml:space="preserve">Track hardware (2 × 40ft runs)</t>
  </si>
  <si>
    <t xml:space="preserve">WAC or Halo commercial grade</t>
  </si>
  <si>
    <t xml:space="preserve">LED track heads × 16</t>
  </si>
  <si>
    <t xml:space="preserve">Adjustable 3000K CRI90+</t>
  </si>
  <si>
    <t xml:space="preserve">Electrician labour</t>
  </si>
  <si>
    <t xml:space="preserve">10–16 hrs at $80–$150/hr Calgary</t>
  </si>
  <si>
    <t xml:space="preserve">Panel circuits + wiring (2 × 20A)</t>
  </si>
  <si>
    <t xml:space="preserve">Dedicated circuits from panel</t>
  </si>
  <si>
    <t xml:space="preserve">Used heads FB Marketplace (offset)</t>
  </si>
  <si>
    <t xml:space="preserve">Credit — sourcing savings</t>
  </si>
  <si>
    <t xml:space="preserve">LIGHTING SUBTOTAL</t>
  </si>
  <si>
    <t xml:space="preserve">PLUMBING</t>
  </si>
  <si>
    <t xml:space="preserve">Plumber labour</t>
  </si>
  <si>
    <t xml:space="preserve">8–14 hrs at $100–$150/hr</t>
  </si>
  <si>
    <t xml:space="preserve">Supply line extension + valves</t>
  </si>
  <si>
    <t xml:space="preserve">PEX or copper</t>
  </si>
  <si>
    <t xml:space="preserve">Drain rough-in + floor drain</t>
  </si>
  <si>
    <t xml:space="preserve">Core drill + drain + pipe run</t>
  </si>
  <si>
    <t xml:space="preserve">Two utility sinks + taps</t>
  </si>
  <si>
    <t xml:space="preserve">Stainless utility sinks</t>
  </si>
  <si>
    <t xml:space="preserve">Permits (City of Calgary)</t>
  </si>
  <si>
    <t xml:space="preserve">Required for plumbing work</t>
  </si>
  <si>
    <t xml:space="preserve">PLUMBING SUBTOTAL</t>
  </si>
  <si>
    <t xml:space="preserve">WET LAB WALL</t>
  </si>
  <si>
    <t xml:space="preserve">Framing + drywall labour</t>
  </si>
  <si>
    <t xml:space="preserve">Half day — one 10ft wall</t>
  </si>
  <si>
    <t xml:space="preserve">Materials (studs, drywall, mud)</t>
  </si>
  <si>
    <t xml:space="preserve">Single wall materials</t>
  </si>
  <si>
    <t xml:space="preserve">Paint — wet lab (moisture resistant)</t>
  </si>
  <si>
    <t xml:space="preserve">2 coats</t>
  </si>
  <si>
    <t xml:space="preserve">WET LAB WALL SUBTOTAL</t>
  </si>
  <si>
    <t xml:space="preserve">PAINT (DIY)</t>
  </si>
  <si>
    <t xml:space="preserve">Paint + primer — main space</t>
  </si>
  <si>
    <t xml:space="preserve">~20L flat white — DIY saves labour</t>
  </si>
  <si>
    <t xml:space="preserve">PAINT (DIY) SUBTOTAL</t>
  </si>
  <si>
    <t xml:space="preserve">SHADES</t>
  </si>
  <si>
    <t xml:space="preserve">Blackout roller shades × 2</t>
  </si>
  <si>
    <t xml:space="preserve">IKEA TUPPLUR or custom</t>
  </si>
  <si>
    <t xml:space="preserve">Installation hardware</t>
  </si>
  <si>
    <t xml:space="preserve">Brackets, drill bits</t>
  </si>
  <si>
    <t xml:space="preserve">SHADES SUBTOTAL</t>
  </si>
  <si>
    <t xml:space="preserve">FURNITURE</t>
  </si>
  <si>
    <t xml:space="preserve">Large work tables on casters × 2</t>
  </si>
  <si>
    <t xml:space="preserve">6–8ft · FB Marketplace / Kijiji</t>
  </si>
  <si>
    <t xml:space="preserve">Workshop fold-flat tables × 4</t>
  </si>
  <si>
    <t xml:space="preserve">8ft on casters · used</t>
  </si>
  <si>
    <t xml:space="preserve">MCM credenza / sideboard × 1</t>
  </si>
  <si>
    <t xml:space="preserve">FB Marketplace — archive + display</t>
  </si>
  <si>
    <t xml:space="preserve">Archive shelving units × 3</t>
  </si>
  <si>
    <t xml:space="preserve">IKEA IVAR or industrial metal</t>
  </si>
  <si>
    <t xml:space="preserve">Negative/print storage binders + boxes</t>
  </si>
  <si>
    <t xml:space="preserve">Archival sleeves, neg pages</t>
  </si>
  <si>
    <t xml:space="preserve">MCM side tables × 2</t>
  </si>
  <si>
    <t xml:space="preserve">FB Marketplace</t>
  </si>
  <si>
    <t xml:space="preserve">Your personal studio desk</t>
  </si>
  <si>
    <t xml:space="preserve">Large solid wood or MCM — used</t>
  </si>
  <si>
    <t xml:space="preserve">Casters (if needed, × 8 heavy duty)</t>
  </si>
  <si>
    <t xml:space="preserve">Locking industrial casters</t>
  </si>
  <si>
    <t xml:space="preserve">Floor lamp + accent lighting</t>
  </si>
  <si>
    <t xml:space="preserve">Mood + reading light</t>
  </si>
  <si>
    <t xml:space="preserve">FURNITURE SUBTOTAL</t>
  </si>
  <si>
    <t xml:space="preserve">Contingency (10%)</t>
  </si>
  <si>
    <t xml:space="preserve">10% buffer on your budget estimate</t>
  </si>
  <si>
    <t xml:space="preserve">TOTAL BUILD-OUT</t>
  </si>
  <si>
    <t xml:space="preserve">Change any blue cell — totals update automatically</t>
  </si>
  <si>
    <t xml:space="preserve">ARTEFAKT  —  Operating Costs &amp; Revenue  (Year One)</t>
  </si>
  <si>
    <t xml:space="preserve">All inputs on Assumptions sheet.  This sheet shows calculated results.  CAD.</t>
  </si>
  <si>
    <t xml:space="preserve">SECTION 1 — OPERATING COSTS</t>
  </si>
  <si>
    <t xml:space="preserve">Monthly</t>
  </si>
  <si>
    <t xml:space="preserve">Months paid</t>
  </si>
  <si>
    <t xml:space="preserve">Annual Total</t>
  </si>
  <si>
    <t xml:space="preserve">Rent</t>
  </si>
  <si>
    <t xml:space="preserve">3 months free during build-out</t>
  </si>
  <si>
    <t xml:space="preserve">Electricity</t>
  </si>
  <si>
    <t xml:space="preserve">Full 12 months</t>
  </si>
  <si>
    <t xml:space="preserve">Internet</t>
  </si>
  <si>
    <t xml:space="preserve">Insurance</t>
  </si>
  <si>
    <t xml:space="preserve">Accounting</t>
  </si>
  <si>
    <t xml:space="preserve">Supplies + consumables</t>
  </si>
  <si>
    <t xml:space="preserve">Marketing + print</t>
  </si>
  <si>
    <t xml:space="preserve">Substack platform fee</t>
  </si>
  <si>
    <t xml:space="preserve">7</t>
  </si>
  <si>
    <t xml:space="preserve">~10% of subscription revenue · 7 months</t>
  </si>
  <si>
    <t xml:space="preserve">Website (Format/Squarespace)</t>
  </si>
  <si>
    <t xml:space="preserve">20</t>
  </si>
  <si>
    <t xml:space="preserve">Annual plan ~$240</t>
  </si>
  <si>
    <t xml:space="preserve">TOTAL OPERATING COSTS</t>
  </si>
  <si>
    <t xml:space="preserve">SECTION 2 — REVENUE</t>
  </si>
  <si>
    <t xml:space="preserve">Revenue Stream</t>
  </si>
  <si>
    <t xml:space="preserve">Gross</t>
  </si>
  <si>
    <t xml:space="preserve">Costs / Deductions</t>
  </si>
  <si>
    <t xml:space="preserve">Net Revenue</t>
  </si>
  <si>
    <t xml:space="preserve">Workshop — gross fees</t>
  </si>
  <si>
    <t xml:space="preserve">12 participants × $900 less practitioner costs</t>
  </si>
  <si>
    <t xml:space="preserve">AFA Grant (if awarded)</t>
  </si>
  <si>
    <t xml:space="preserve">—</t>
  </si>
  <si>
    <t xml:space="preserve">Set to 0 in Assumptions to model without grant</t>
  </si>
  <si>
    <t xml:space="preserve">Subscriptions — The Witness</t>
  </si>
  <si>
    <t xml:space="preserve">Rate × subscribers × months less Substack 10%</t>
  </si>
  <si>
    <t xml:space="preserve">Subscriptions — The Practitioner</t>
  </si>
  <si>
    <t xml:space="preserve">Subscriptions — The Patron</t>
  </si>
  <si>
    <t xml:space="preserve">Studio rentals</t>
  </si>
  <si>
    <t xml:space="preserve">Day rate × days/month × months open</t>
  </si>
  <si>
    <t xml:space="preserve">TOTAL NET REVENUE</t>
  </si>
  <si>
    <t xml:space="preserve">SECTION 3 — YEAR ONE SUMMARY</t>
  </si>
  <si>
    <t xml:space="preserve">Starting cash (your savings)</t>
  </si>
  <si>
    <t xml:space="preserve">Total build-out cost</t>
  </si>
  <si>
    <t xml:space="preserve">Total operating costs</t>
  </si>
  <si>
    <t xml:space="preserve">Total net revenue</t>
  </si>
  <si>
    <t xml:space="preserve">NET CASH POSITION — END OF YEAR ONE</t>
  </si>
  <si>
    <t xml:space="preserve">Tip: On Assumptions sheet, set AFA Grant to 0 to model the scenario without grant funding.</t>
  </si>
  <si>
    <t xml:space="preserve">ARTEFAKT  —  Monthly Cash Flow  (Year One)</t>
  </si>
  <si>
    <t xml:space="preserve">Indicative month-by-month cash position.  All figures CAD.</t>
  </si>
  <si>
    <t xml:space="preserve">Month</t>
  </si>
  <si>
    <t xml:space="preserve">Activity</t>
  </si>
  <si>
    <t xml:space="preserve">Key milestone</t>
  </si>
  <si>
    <t xml:space="preserve">In (CAD)</t>
  </si>
  <si>
    <t xml:space="preserve">Out (CAD)</t>
  </si>
  <si>
    <t xml:space="preserve">Net</t>
  </si>
  <si>
    <t xml:space="preserve">Cumulative cash</t>
  </si>
  <si>
    <t xml:space="preserve">M 1</t>
  </si>
  <si>
    <t xml:space="preserve">Sign lease · start build-out</t>
  </si>
  <si>
    <t xml:space="preserve">Epoxy floor + plumbing</t>
  </si>
  <si>
    <t xml:space="preserve">M 2</t>
  </si>
  <si>
    <t xml:space="preserve">Build-out continues</t>
  </si>
  <si>
    <t xml:space="preserve">Lighting + furniture sourcing</t>
  </si>
  <si>
    <t xml:space="preserve">M 3</t>
  </si>
  <si>
    <t xml:space="preserve">Finish build-out · soft open</t>
  </si>
  <si>
    <t xml:space="preserve">Invite founding community</t>
  </si>
  <si>
    <t xml:space="preserve">M 4</t>
  </si>
  <si>
    <t xml:space="preserve">Launch dispatch + subscriptions</t>
  </si>
  <si>
    <t xml:space="preserve">Issue 001 live · first rent due</t>
  </si>
  <si>
    <t xml:space="preserve">M 5</t>
  </si>
  <si>
    <t xml:space="preserve">Subs grow · first rentals</t>
  </si>
  <si>
    <t xml:space="preserve">AFA application submitted</t>
  </si>
  <si>
    <t xml:space="preserve">M 6</t>
  </si>
  <si>
    <t xml:space="preserve">Workshop announced</t>
  </si>
  <si>
    <t xml:space="preserve">Applications open to subscribers</t>
  </si>
  <si>
    <t xml:space="preserve">M 7</t>
  </si>
  <si>
    <t xml:space="preserve">Deposits in · AFA result</t>
  </si>
  <si>
    <t xml:space="preserve">6 deposits × $450</t>
  </si>
  <si>
    <t xml:space="preserve">M 8</t>
  </si>
  <si>
    <t xml:space="preserve">Full workshop payment</t>
  </si>
  <si>
    <t xml:space="preserve">12 participants × $900</t>
  </si>
  <si>
    <t xml:space="preserve">M 9</t>
  </si>
  <si>
    <t xml:space="preserve">THE WORKSHOP</t>
  </si>
  <si>
    <t xml:space="preserve">Danny + Dave in Calgary</t>
  </si>
  <si>
    <t xml:space="preserve">M 10</t>
  </si>
  <si>
    <t xml:space="preserve">Post-workshop momentum</t>
  </si>
  <si>
    <t xml:space="preserve">New subscribers from workshop</t>
  </si>
  <si>
    <t xml:space="preserve">M 11</t>
  </si>
  <si>
    <t xml:space="preserve">AFA grant arrives</t>
  </si>
  <si>
    <t xml:space="preserve">Grant disbursement + subs</t>
  </si>
  <si>
    <t xml:space="preserve">M 12</t>
  </si>
  <si>
    <t xml:space="preserve">End of year one</t>
  </si>
  <si>
    <t xml:space="preserve">Plan year two</t>
  </si>
  <si>
    <t xml:space="preserve">Note: Month 11 AFA grant assumes $6,500 awarded. Set AFA Grant to 0 on Assumptions sheet to model without.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</si>
</sst>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&quot;($&quot;#,##0\);\-"/>
    <numFmt numFmtId="166" formatCode="0%"/>
    <numFmt numFmtId="167" formatCode="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1A5A8A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CCCCCC"/>
      <name val="Arial"/>
      <family val="0"/>
      <charset val="1"/>
    </font>
    <font>
      <sz val="11"/>
      <color rgb="FF000000"/>
      <name val="Arial"/>
      <family val="0"/>
      <charset val="1"/>
    </font>
    <font>
      <sz val="10"/>
      <color rgb="FFC00000"/>
      <name val="Arial"/>
      <family val="0"/>
      <charset val="1"/>
    </font>
    <font>
      <b val="true"/>
      <sz val="10"/>
      <color rgb="FF1A5A2A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C00000"/>
      <name val="Arial"/>
      <family val="0"/>
      <charset val="1"/>
    </font>
    <font>
      <sz val="11"/>
      <color rgb="FF006600"/>
      <name val="Arial"/>
      <family val="0"/>
      <charset val="1"/>
    </font>
    <font>
      <b val="true"/>
      <sz val="11"/>
      <color rgb="FF1A5A8A"/>
      <name val="Arial"/>
      <family val="0"/>
      <charset val="1"/>
    </font>
    <font>
      <i val="true"/>
      <sz val="9"/>
      <color rgb="FF1A5A8A"/>
      <name val="Arial"/>
      <family val="0"/>
      <charset val="1"/>
    </font>
    <font>
      <sz val="11"/>
      <color rgb="FF888888"/>
      <name val="Arial"/>
      <family val="0"/>
      <charset val="1"/>
    </font>
    <font>
      <sz val="10"/>
      <color rgb="FF0066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A5A8A"/>
        <bgColor rgb="FF1A5A2A"/>
      </patternFill>
    </fill>
    <fill>
      <patternFill patternType="solid">
        <fgColor rgb="FFD4EAF5"/>
        <bgColor rgb="FFE8EEF4"/>
      </patternFill>
    </fill>
    <fill>
      <patternFill patternType="solid">
        <fgColor rgb="FFFFFFFF"/>
        <bgColor rgb="FFFAFAFA"/>
      </patternFill>
    </fill>
    <fill>
      <patternFill patternType="solid">
        <fgColor rgb="FFE8EEF4"/>
        <bgColor rgb="FFE8F4EC"/>
      </patternFill>
    </fill>
    <fill>
      <patternFill patternType="solid">
        <fgColor rgb="FFF2F2F2"/>
        <bgColor rgb="FFE8F4EC"/>
      </patternFill>
    </fill>
    <fill>
      <patternFill patternType="solid">
        <fgColor rgb="FF444444"/>
        <bgColor rgb="FF555555"/>
      </patternFill>
    </fill>
    <fill>
      <patternFill patternType="solid">
        <fgColor rgb="FFFAFAFA"/>
        <bgColor rgb="FFFFFFFF"/>
      </patternFill>
    </fill>
    <fill>
      <patternFill patternType="solid">
        <fgColor rgb="FFE8F4EC"/>
        <bgColor rgb="FFE8EEF4"/>
      </patternFill>
    </fill>
    <fill>
      <patternFill patternType="solid">
        <fgColor rgb="FFFDF3E3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9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2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DF3E3"/>
      <rgbColor rgb="FFD4EAF5"/>
      <rgbColor rgb="FF660066"/>
      <rgbColor rgb="FFFF8080"/>
      <rgbColor rgb="FF1A5A8A"/>
      <rgbColor rgb="FFFAFAF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4EC"/>
      <rgbColor rgb="FFE8EEF4"/>
      <rgbColor rgb="FFF2F2F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1A5A2A"/>
      <rgbColor rgb="FF993300"/>
      <rgbColor rgb="FF993366"/>
      <rgbColor rgb="FF555555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38"/>
    <col collapsed="false" customWidth="true" hidden="false" outlineLevel="0" max="4" min="4" style="0" width="16"/>
  </cols>
  <sheetData>
    <row r="1" customFormat="false" ht="36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  <c r="C5" s="4" t="s">
        <v>5</v>
      </c>
    </row>
    <row r="6" customFormat="false" ht="15" hidden="false" customHeight="false" outlineLevel="0" collapsed="false">
      <c r="A6" s="6" t="s">
        <v>6</v>
      </c>
      <c r="B6" s="7" t="n">
        <v>1800</v>
      </c>
      <c r="C6" s="8" t="s">
        <v>7</v>
      </c>
    </row>
    <row r="7" customFormat="false" ht="15" hidden="false" customHeight="false" outlineLevel="0" collapsed="false">
      <c r="A7" s="6" t="s">
        <v>8</v>
      </c>
      <c r="B7" s="7" t="n">
        <v>3</v>
      </c>
      <c r="C7" s="8" t="s">
        <v>9</v>
      </c>
    </row>
    <row r="8" customFormat="false" ht="15" hidden="false" customHeight="false" outlineLevel="0" collapsed="false">
      <c r="A8" s="6" t="s">
        <v>10</v>
      </c>
      <c r="B8" s="7" t="n">
        <v>12</v>
      </c>
      <c r="C8" s="8" t="s">
        <v>11</v>
      </c>
    </row>
    <row r="9" customFormat="false" ht="15" hidden="false" customHeight="false" outlineLevel="0" collapsed="false">
      <c r="A9" s="6" t="s">
        <v>12</v>
      </c>
      <c r="B9" s="7" t="n">
        <v>200</v>
      </c>
      <c r="C9" s="8" t="s">
        <v>13</v>
      </c>
    </row>
    <row r="10" customFormat="false" ht="15" hidden="false" customHeight="false" outlineLevel="0" collapsed="false">
      <c r="A10" s="6" t="s">
        <v>14</v>
      </c>
      <c r="B10" s="7" t="n">
        <v>80</v>
      </c>
      <c r="C10" s="8" t="s">
        <v>15</v>
      </c>
    </row>
    <row r="11" customFormat="false" ht="15" hidden="false" customHeight="false" outlineLevel="0" collapsed="false">
      <c r="A11" s="6" t="s">
        <v>16</v>
      </c>
      <c r="B11" s="7" t="n">
        <v>120</v>
      </c>
      <c r="C11" s="8" t="s">
        <v>17</v>
      </c>
    </row>
    <row r="12" customFormat="false" ht="15" hidden="false" customHeight="false" outlineLevel="0" collapsed="false">
      <c r="A12" s="6" t="s">
        <v>18</v>
      </c>
      <c r="B12" s="7" t="n">
        <v>80</v>
      </c>
      <c r="C12" s="8" t="s">
        <v>19</v>
      </c>
    </row>
    <row r="13" customFormat="false" ht="15" hidden="false" customHeight="false" outlineLevel="0" collapsed="false">
      <c r="A13" s="6" t="s">
        <v>20</v>
      </c>
      <c r="B13" s="7" t="n">
        <v>60</v>
      </c>
      <c r="C13" s="8" t="s">
        <v>21</v>
      </c>
    </row>
    <row r="14" customFormat="false" ht="15" hidden="false" customHeight="false" outlineLevel="0" collapsed="false">
      <c r="A14" s="6" t="s">
        <v>22</v>
      </c>
      <c r="B14" s="7" t="n">
        <v>50</v>
      </c>
      <c r="C14" s="8" t="s">
        <v>23</v>
      </c>
    </row>
    <row r="15" customFormat="false" ht="15" hidden="false" customHeight="false" outlineLevel="0" collapsed="false">
      <c r="A15" s="6" t="s">
        <v>24</v>
      </c>
      <c r="B15" s="9" t="n">
        <v>0.1</v>
      </c>
      <c r="C15" s="8" t="s">
        <v>25</v>
      </c>
    </row>
    <row r="17" customFormat="false" ht="15" hidden="false" customHeight="false" outlineLevel="0" collapsed="false">
      <c r="A17" s="3" t="s">
        <v>26</v>
      </c>
    </row>
    <row r="18" customFormat="false" ht="15" hidden="false" customHeight="false" outlineLevel="0" collapsed="false">
      <c r="A18" s="4" t="s">
        <v>3</v>
      </c>
      <c r="B18" s="5" t="s">
        <v>4</v>
      </c>
      <c r="C18" s="4" t="s">
        <v>5</v>
      </c>
    </row>
    <row r="19" customFormat="false" ht="15" hidden="false" customHeight="false" outlineLevel="0" collapsed="false">
      <c r="A19" s="6" t="s">
        <v>27</v>
      </c>
      <c r="B19" s="7" t="n">
        <v>12</v>
      </c>
      <c r="C19" s="8" t="s">
        <v>28</v>
      </c>
    </row>
    <row r="20" customFormat="false" ht="15" hidden="false" customHeight="false" outlineLevel="0" collapsed="false">
      <c r="A20" s="6" t="s">
        <v>29</v>
      </c>
      <c r="B20" s="7" t="n">
        <v>900</v>
      </c>
      <c r="C20" s="8" t="s">
        <v>30</v>
      </c>
    </row>
    <row r="21" customFormat="false" ht="15" hidden="false" customHeight="false" outlineLevel="0" collapsed="false">
      <c r="A21" s="6" t="s">
        <v>31</v>
      </c>
      <c r="B21" s="7" t="n">
        <v>3500</v>
      </c>
      <c r="C21" s="8" t="s">
        <v>32</v>
      </c>
    </row>
    <row r="22" customFormat="false" ht="15" hidden="false" customHeight="false" outlineLevel="0" collapsed="false">
      <c r="A22" s="6" t="s">
        <v>33</v>
      </c>
      <c r="B22" s="7" t="n">
        <v>3500</v>
      </c>
      <c r="C22" s="8" t="s">
        <v>34</v>
      </c>
    </row>
    <row r="23" customFormat="false" ht="15" hidden="false" customHeight="false" outlineLevel="0" collapsed="false">
      <c r="A23" s="6" t="s">
        <v>35</v>
      </c>
      <c r="B23" s="7" t="n">
        <v>600</v>
      </c>
      <c r="C23" s="8" t="s">
        <v>36</v>
      </c>
    </row>
    <row r="24" customFormat="false" ht="15" hidden="false" customHeight="false" outlineLevel="0" collapsed="false">
      <c r="A24" s="6" t="s">
        <v>37</v>
      </c>
      <c r="B24" s="7" t="n">
        <v>6500</v>
      </c>
      <c r="C24" s="8" t="s">
        <v>38</v>
      </c>
    </row>
    <row r="26" customFormat="false" ht="15" hidden="false" customHeight="false" outlineLevel="0" collapsed="false">
      <c r="A26" s="3" t="s">
        <v>39</v>
      </c>
    </row>
    <row r="27" customFormat="false" ht="15" hidden="false" customHeight="false" outlineLevel="0" collapsed="false">
      <c r="A27" s="4" t="s">
        <v>40</v>
      </c>
      <c r="B27" s="5" t="s">
        <v>41</v>
      </c>
      <c r="C27" s="5" t="s">
        <v>42</v>
      </c>
      <c r="D27" s="5" t="s">
        <v>43</v>
      </c>
    </row>
    <row r="28" customFormat="false" ht="15" hidden="false" customHeight="false" outlineLevel="0" collapsed="false">
      <c r="A28" s="6" t="s">
        <v>44</v>
      </c>
      <c r="B28" s="7" t="n">
        <v>25</v>
      </c>
      <c r="C28" s="10" t="n">
        <v>25</v>
      </c>
      <c r="D28" s="10" t="n">
        <v>7</v>
      </c>
    </row>
    <row r="29" customFormat="false" ht="15" hidden="false" customHeight="false" outlineLevel="0" collapsed="false">
      <c r="A29" s="6" t="s">
        <v>45</v>
      </c>
      <c r="B29" s="7" t="n">
        <v>75</v>
      </c>
      <c r="C29" s="10" t="n">
        <v>8</v>
      </c>
      <c r="D29" s="10" t="n">
        <v>7</v>
      </c>
    </row>
    <row r="30" customFormat="false" ht="15" hidden="false" customHeight="false" outlineLevel="0" collapsed="false">
      <c r="A30" s="6" t="s">
        <v>46</v>
      </c>
      <c r="B30" s="7" t="n">
        <v>300</v>
      </c>
      <c r="C30" s="10" t="n">
        <v>2</v>
      </c>
      <c r="D30" s="10" t="n">
        <v>7</v>
      </c>
    </row>
    <row r="32" customFormat="false" ht="15" hidden="false" customHeight="false" outlineLevel="0" collapsed="false">
      <c r="A32" s="3" t="s">
        <v>47</v>
      </c>
    </row>
    <row r="33" customFormat="false" ht="15" hidden="false" customHeight="false" outlineLevel="0" collapsed="false">
      <c r="A33" s="4" t="s">
        <v>3</v>
      </c>
      <c r="B33" s="5" t="s">
        <v>4</v>
      </c>
      <c r="C33" s="4" t="s">
        <v>5</v>
      </c>
    </row>
    <row r="34" customFormat="false" ht="15" hidden="false" customHeight="false" outlineLevel="0" collapsed="false">
      <c r="A34" s="6" t="s">
        <v>48</v>
      </c>
      <c r="B34" s="7" t="n">
        <v>250</v>
      </c>
      <c r="C34" s="8" t="s">
        <v>49</v>
      </c>
    </row>
    <row r="35" customFormat="false" ht="15" hidden="false" customHeight="false" outlineLevel="0" collapsed="false">
      <c r="A35" s="6" t="s">
        <v>50</v>
      </c>
      <c r="B35" s="7" t="n">
        <v>2</v>
      </c>
      <c r="C35" s="8" t="s">
        <v>51</v>
      </c>
    </row>
    <row r="36" customFormat="false" ht="15" hidden="false" customHeight="false" outlineLevel="0" collapsed="false">
      <c r="A36" s="6" t="s">
        <v>52</v>
      </c>
      <c r="B36" s="7" t="n">
        <v>8</v>
      </c>
      <c r="C36" s="8" t="s">
        <v>53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2"/>
    <col collapsed="false" customWidth="true" hidden="false" outlineLevel="0" max="5" min="3" style="0" width="14"/>
    <col collapsed="false" customWidth="true" hidden="false" outlineLevel="0" max="6" min="6" style="0" width="36"/>
  </cols>
  <sheetData>
    <row r="1" customFormat="false" ht="36" hidden="false" customHeight="true" outlineLevel="0" collapsed="false">
      <c r="A1" s="1" t="s">
        <v>54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55</v>
      </c>
      <c r="B2" s="2"/>
      <c r="C2" s="2"/>
      <c r="D2" s="2"/>
      <c r="E2" s="2"/>
      <c r="F2" s="2"/>
    </row>
    <row r="4" customFormat="false" ht="19.5" hidden="false" customHeight="true" outlineLevel="0" collapsed="false">
      <c r="A4" s="11" t="s">
        <v>56</v>
      </c>
      <c r="B4" s="11" t="s">
        <v>3</v>
      </c>
      <c r="C4" s="11" t="s">
        <v>57</v>
      </c>
      <c r="D4" s="11" t="s">
        <v>58</v>
      </c>
      <c r="E4" s="11" t="s">
        <v>59</v>
      </c>
      <c r="F4" s="11" t="s">
        <v>5</v>
      </c>
    </row>
    <row r="5" customFormat="false" ht="15" hidden="false" customHeight="false" outlineLevel="0" collapsed="false">
      <c r="A5" s="12" t="s">
        <v>60</v>
      </c>
      <c r="B5" s="12"/>
      <c r="C5" s="12"/>
      <c r="D5" s="12"/>
      <c r="E5" s="12"/>
      <c r="F5" s="12"/>
    </row>
    <row r="6" customFormat="false" ht="15" hidden="false" customHeight="false" outlineLevel="0" collapsed="false">
      <c r="A6" s="6"/>
      <c r="B6" s="6" t="s">
        <v>61</v>
      </c>
      <c r="C6" s="7" t="n">
        <v>5600</v>
      </c>
      <c r="D6" s="7" t="n">
        <v>11200</v>
      </c>
      <c r="E6" s="7" t="n">
        <v>7000</v>
      </c>
      <c r="F6" s="8" t="s">
        <v>62</v>
      </c>
    </row>
    <row r="7" customFormat="false" ht="15" hidden="false" customHeight="false" outlineLevel="0" collapsed="false">
      <c r="A7" s="6"/>
      <c r="B7" s="6" t="s">
        <v>63</v>
      </c>
      <c r="C7" s="7" t="n">
        <v>800</v>
      </c>
      <c r="D7" s="7" t="n">
        <v>1600</v>
      </c>
      <c r="E7" s="7" t="n">
        <v>1000</v>
      </c>
      <c r="F7" s="8" t="s">
        <v>64</v>
      </c>
    </row>
    <row r="8" customFormat="false" ht="15" hidden="false" customHeight="false" outlineLevel="0" collapsed="false">
      <c r="A8" s="6"/>
      <c r="B8" s="6" t="s">
        <v>65</v>
      </c>
      <c r="C8" s="7" t="n">
        <v>500</v>
      </c>
      <c r="D8" s="7" t="n">
        <v>1200</v>
      </c>
      <c r="E8" s="7" t="n">
        <v>700</v>
      </c>
      <c r="F8" s="8" t="s">
        <v>66</v>
      </c>
    </row>
    <row r="9" customFormat="false" ht="15" hidden="false" customHeight="false" outlineLevel="0" collapsed="false">
      <c r="A9" s="13" t="s">
        <v>67</v>
      </c>
      <c r="B9" s="13"/>
      <c r="C9" s="14" t="n">
        <f aca="false">SUM(C6:C8)</f>
        <v>6900</v>
      </c>
      <c r="D9" s="14" t="n">
        <f aca="false">SUM(D6:D8)</f>
        <v>14000</v>
      </c>
      <c r="E9" s="14" t="n">
        <f aca="false">SUM(E6:E8)</f>
        <v>8700</v>
      </c>
      <c r="F9" s="15"/>
    </row>
    <row r="10" customFormat="false" ht="15" hidden="false" customHeight="false" outlineLevel="0" collapsed="false">
      <c r="A10" s="12" t="s">
        <v>68</v>
      </c>
      <c r="B10" s="12"/>
      <c r="C10" s="12"/>
      <c r="D10" s="12"/>
      <c r="E10" s="12"/>
      <c r="F10" s="12"/>
    </row>
    <row r="11" customFormat="false" ht="15" hidden="false" customHeight="false" outlineLevel="0" collapsed="false">
      <c r="A11" s="6"/>
      <c r="B11" s="6" t="s">
        <v>69</v>
      </c>
      <c r="C11" s="7" t="n">
        <v>800</v>
      </c>
      <c r="D11" s="7" t="n">
        <v>1600</v>
      </c>
      <c r="E11" s="7" t="n">
        <v>1000</v>
      </c>
      <c r="F11" s="8" t="s">
        <v>70</v>
      </c>
    </row>
    <row r="12" customFormat="false" ht="15" hidden="false" customHeight="false" outlineLevel="0" collapsed="false">
      <c r="A12" s="6"/>
      <c r="B12" s="6" t="s">
        <v>71</v>
      </c>
      <c r="C12" s="7" t="n">
        <v>960</v>
      </c>
      <c r="D12" s="7" t="n">
        <v>1920</v>
      </c>
      <c r="E12" s="7" t="n">
        <v>1200</v>
      </c>
      <c r="F12" s="8" t="s">
        <v>72</v>
      </c>
    </row>
    <row r="13" customFormat="false" ht="15" hidden="false" customHeight="false" outlineLevel="0" collapsed="false">
      <c r="A13" s="6"/>
      <c r="B13" s="6" t="s">
        <v>73</v>
      </c>
      <c r="C13" s="7" t="n">
        <v>800</v>
      </c>
      <c r="D13" s="7" t="n">
        <v>2400</v>
      </c>
      <c r="E13" s="7" t="n">
        <v>1400</v>
      </c>
      <c r="F13" s="8" t="s">
        <v>74</v>
      </c>
    </row>
    <row r="14" customFormat="false" ht="15" hidden="false" customHeight="false" outlineLevel="0" collapsed="false">
      <c r="A14" s="6"/>
      <c r="B14" s="6" t="s">
        <v>75</v>
      </c>
      <c r="C14" s="7" t="n">
        <v>400</v>
      </c>
      <c r="D14" s="7" t="n">
        <v>800</v>
      </c>
      <c r="E14" s="7" t="n">
        <v>500</v>
      </c>
      <c r="F14" s="8" t="s">
        <v>76</v>
      </c>
    </row>
    <row r="15" customFormat="false" ht="15" hidden="false" customHeight="false" outlineLevel="0" collapsed="false">
      <c r="A15" s="6"/>
      <c r="B15" s="6" t="s">
        <v>77</v>
      </c>
      <c r="C15" s="7" t="n">
        <v>-300</v>
      </c>
      <c r="D15" s="7" t="n">
        <v>-600</v>
      </c>
      <c r="E15" s="7" t="n">
        <v>-400</v>
      </c>
      <c r="F15" s="8" t="s">
        <v>78</v>
      </c>
    </row>
    <row r="16" customFormat="false" ht="15" hidden="false" customHeight="false" outlineLevel="0" collapsed="false">
      <c r="A16" s="13" t="s">
        <v>79</v>
      </c>
      <c r="B16" s="13"/>
      <c r="C16" s="14" t="n">
        <f aca="false">SUM(C11:C15)</f>
        <v>2660</v>
      </c>
      <c r="D16" s="14" t="n">
        <f aca="false">SUM(D11:D15)</f>
        <v>6120</v>
      </c>
      <c r="E16" s="14" t="n">
        <f aca="false">SUM(E11:E15)</f>
        <v>3700</v>
      </c>
      <c r="F16" s="15"/>
    </row>
    <row r="17" customFormat="false" ht="15" hidden="false" customHeight="false" outlineLevel="0" collapsed="false">
      <c r="A17" s="12" t="s">
        <v>80</v>
      </c>
      <c r="B17" s="12"/>
      <c r="C17" s="12"/>
      <c r="D17" s="12"/>
      <c r="E17" s="12"/>
      <c r="F17" s="12"/>
    </row>
    <row r="18" customFormat="false" ht="15" hidden="false" customHeight="false" outlineLevel="0" collapsed="false">
      <c r="A18" s="6"/>
      <c r="B18" s="6" t="s">
        <v>81</v>
      </c>
      <c r="C18" s="7" t="n">
        <v>800</v>
      </c>
      <c r="D18" s="7" t="n">
        <v>2100</v>
      </c>
      <c r="E18" s="7" t="n">
        <v>1200</v>
      </c>
      <c r="F18" s="8" t="s">
        <v>82</v>
      </c>
    </row>
    <row r="19" customFormat="false" ht="15" hidden="false" customHeight="false" outlineLevel="0" collapsed="false">
      <c r="A19" s="6"/>
      <c r="B19" s="6" t="s">
        <v>83</v>
      </c>
      <c r="C19" s="7" t="n">
        <v>300</v>
      </c>
      <c r="D19" s="7" t="n">
        <v>600</v>
      </c>
      <c r="E19" s="7" t="n">
        <v>400</v>
      </c>
      <c r="F19" s="8" t="s">
        <v>84</v>
      </c>
    </row>
    <row r="20" customFormat="false" ht="15" hidden="false" customHeight="false" outlineLevel="0" collapsed="false">
      <c r="A20" s="6"/>
      <c r="B20" s="6" t="s">
        <v>85</v>
      </c>
      <c r="C20" s="7" t="n">
        <v>400</v>
      </c>
      <c r="D20" s="7" t="n">
        <v>900</v>
      </c>
      <c r="E20" s="7" t="n">
        <v>550</v>
      </c>
      <c r="F20" s="8" t="s">
        <v>86</v>
      </c>
    </row>
    <row r="21" customFormat="false" ht="15" hidden="false" customHeight="false" outlineLevel="0" collapsed="false">
      <c r="A21" s="6"/>
      <c r="B21" s="6" t="s">
        <v>87</v>
      </c>
      <c r="C21" s="7" t="n">
        <v>400</v>
      </c>
      <c r="D21" s="7" t="n">
        <v>800</v>
      </c>
      <c r="E21" s="7" t="n">
        <v>550</v>
      </c>
      <c r="F21" s="8" t="s">
        <v>88</v>
      </c>
    </row>
    <row r="22" customFormat="false" ht="15" hidden="false" customHeight="false" outlineLevel="0" collapsed="false">
      <c r="A22" s="6"/>
      <c r="B22" s="6" t="s">
        <v>89</v>
      </c>
      <c r="C22" s="7" t="n">
        <v>150</v>
      </c>
      <c r="D22" s="7" t="n">
        <v>300</v>
      </c>
      <c r="E22" s="7" t="n">
        <v>200</v>
      </c>
      <c r="F22" s="8" t="s">
        <v>90</v>
      </c>
    </row>
    <row r="23" customFormat="false" ht="15" hidden="false" customHeight="false" outlineLevel="0" collapsed="false">
      <c r="A23" s="13" t="s">
        <v>91</v>
      </c>
      <c r="B23" s="13"/>
      <c r="C23" s="14" t="n">
        <f aca="false">SUM(C18:C22)</f>
        <v>2050</v>
      </c>
      <c r="D23" s="14" t="n">
        <f aca="false">SUM(D18:D22)</f>
        <v>4700</v>
      </c>
      <c r="E23" s="14" t="n">
        <f aca="false">SUM(E18:E22)</f>
        <v>2900</v>
      </c>
      <c r="F23" s="15"/>
    </row>
    <row r="24" customFormat="false" ht="15" hidden="false" customHeight="false" outlineLevel="0" collapsed="false">
      <c r="A24" s="12" t="s">
        <v>92</v>
      </c>
      <c r="B24" s="12"/>
      <c r="C24" s="12"/>
      <c r="D24" s="12"/>
      <c r="E24" s="12"/>
      <c r="F24" s="12"/>
    </row>
    <row r="25" customFormat="false" ht="15" hidden="false" customHeight="false" outlineLevel="0" collapsed="false">
      <c r="A25" s="6"/>
      <c r="B25" s="6" t="s">
        <v>93</v>
      </c>
      <c r="C25" s="7" t="n">
        <v>400</v>
      </c>
      <c r="D25" s="7" t="n">
        <v>800</v>
      </c>
      <c r="E25" s="7" t="n">
        <v>550</v>
      </c>
      <c r="F25" s="8" t="s">
        <v>94</v>
      </c>
    </row>
    <row r="26" customFormat="false" ht="15" hidden="false" customHeight="false" outlineLevel="0" collapsed="false">
      <c r="A26" s="6"/>
      <c r="B26" s="6" t="s">
        <v>95</v>
      </c>
      <c r="C26" s="7" t="n">
        <v>150</v>
      </c>
      <c r="D26" s="7" t="n">
        <v>300</v>
      </c>
      <c r="E26" s="7" t="n">
        <v>200</v>
      </c>
      <c r="F26" s="8" t="s">
        <v>96</v>
      </c>
    </row>
    <row r="27" customFormat="false" ht="15" hidden="false" customHeight="false" outlineLevel="0" collapsed="false">
      <c r="A27" s="6"/>
      <c r="B27" s="6" t="s">
        <v>97</v>
      </c>
      <c r="C27" s="7" t="n">
        <v>80</v>
      </c>
      <c r="D27" s="7" t="n">
        <v>150</v>
      </c>
      <c r="E27" s="7" t="n">
        <v>100</v>
      </c>
      <c r="F27" s="8" t="s">
        <v>98</v>
      </c>
    </row>
    <row r="28" customFormat="false" ht="15" hidden="false" customHeight="false" outlineLevel="0" collapsed="false">
      <c r="A28" s="13" t="s">
        <v>99</v>
      </c>
      <c r="B28" s="13"/>
      <c r="C28" s="14" t="n">
        <f aca="false">SUM(C25:C27)</f>
        <v>630</v>
      </c>
      <c r="D28" s="14" t="n">
        <f aca="false">SUM(D25:D27)</f>
        <v>1250</v>
      </c>
      <c r="E28" s="14" t="n">
        <f aca="false">SUM(E25:E27)</f>
        <v>850</v>
      </c>
      <c r="F28" s="15"/>
    </row>
    <row r="29" customFormat="false" ht="15" hidden="false" customHeight="false" outlineLevel="0" collapsed="false">
      <c r="A29" s="12" t="s">
        <v>100</v>
      </c>
      <c r="B29" s="12"/>
      <c r="C29" s="12"/>
      <c r="D29" s="12"/>
      <c r="E29" s="12"/>
      <c r="F29" s="12"/>
    </row>
    <row r="30" customFormat="false" ht="15" hidden="false" customHeight="false" outlineLevel="0" collapsed="false">
      <c r="A30" s="6"/>
      <c r="B30" s="6" t="s">
        <v>101</v>
      </c>
      <c r="C30" s="7" t="n">
        <v>300</v>
      </c>
      <c r="D30" s="7" t="n">
        <v>500</v>
      </c>
      <c r="E30" s="7" t="n">
        <v>380</v>
      </c>
      <c r="F30" s="8" t="s">
        <v>102</v>
      </c>
    </row>
    <row r="31" customFormat="false" ht="15" hidden="false" customHeight="false" outlineLevel="0" collapsed="false">
      <c r="A31" s="13" t="s">
        <v>103</v>
      </c>
      <c r="B31" s="13"/>
      <c r="C31" s="14" t="n">
        <f aca="false">SUM(C30:C30)</f>
        <v>300</v>
      </c>
      <c r="D31" s="14" t="n">
        <f aca="false">SUM(D30:D30)</f>
        <v>500</v>
      </c>
      <c r="E31" s="14" t="n">
        <f aca="false">SUM(E30:E30)</f>
        <v>380</v>
      </c>
      <c r="F31" s="15"/>
    </row>
    <row r="32" customFormat="false" ht="15" hidden="false" customHeight="false" outlineLevel="0" collapsed="false">
      <c r="A32" s="12" t="s">
        <v>104</v>
      </c>
      <c r="B32" s="12"/>
      <c r="C32" s="12"/>
      <c r="D32" s="12"/>
      <c r="E32" s="12"/>
      <c r="F32" s="12"/>
    </row>
    <row r="33" customFormat="false" ht="15" hidden="false" customHeight="false" outlineLevel="0" collapsed="false">
      <c r="A33" s="6"/>
      <c r="B33" s="6" t="s">
        <v>105</v>
      </c>
      <c r="C33" s="7" t="n">
        <v>200</v>
      </c>
      <c r="D33" s="7" t="n">
        <v>800</v>
      </c>
      <c r="E33" s="7" t="n">
        <v>400</v>
      </c>
      <c r="F33" s="8" t="s">
        <v>106</v>
      </c>
    </row>
    <row r="34" customFormat="false" ht="15" hidden="false" customHeight="false" outlineLevel="0" collapsed="false">
      <c r="A34" s="6"/>
      <c r="B34" s="6" t="s">
        <v>107</v>
      </c>
      <c r="C34" s="7" t="n">
        <v>40</v>
      </c>
      <c r="D34" s="7" t="n">
        <v>80</v>
      </c>
      <c r="E34" s="7" t="n">
        <v>50</v>
      </c>
      <c r="F34" s="8" t="s">
        <v>108</v>
      </c>
    </row>
    <row r="35" customFormat="false" ht="15" hidden="false" customHeight="false" outlineLevel="0" collapsed="false">
      <c r="A35" s="13" t="s">
        <v>109</v>
      </c>
      <c r="B35" s="13"/>
      <c r="C35" s="14" t="n">
        <f aca="false">SUM(C33:C34)</f>
        <v>240</v>
      </c>
      <c r="D35" s="14" t="n">
        <f aca="false">SUM(D33:D34)</f>
        <v>880</v>
      </c>
      <c r="E35" s="14" t="n">
        <f aca="false">SUM(E33:E34)</f>
        <v>450</v>
      </c>
      <c r="F35" s="15"/>
    </row>
    <row r="36" customFormat="false" ht="15" hidden="false" customHeight="false" outlineLevel="0" collapsed="false">
      <c r="A36" s="12" t="s">
        <v>110</v>
      </c>
      <c r="B36" s="12"/>
      <c r="C36" s="12"/>
      <c r="D36" s="12"/>
      <c r="E36" s="12"/>
      <c r="F36" s="12"/>
    </row>
    <row r="37" customFormat="false" ht="15" hidden="false" customHeight="false" outlineLevel="0" collapsed="false">
      <c r="A37" s="6"/>
      <c r="B37" s="6" t="s">
        <v>111</v>
      </c>
      <c r="C37" s="7" t="n">
        <v>100</v>
      </c>
      <c r="D37" s="7" t="n">
        <v>600</v>
      </c>
      <c r="E37" s="7" t="n">
        <v>300</v>
      </c>
      <c r="F37" s="8" t="s">
        <v>112</v>
      </c>
    </row>
    <row r="38" customFormat="false" ht="15" hidden="false" customHeight="false" outlineLevel="0" collapsed="false">
      <c r="A38" s="6"/>
      <c r="B38" s="6" t="s">
        <v>113</v>
      </c>
      <c r="C38" s="7" t="n">
        <v>200</v>
      </c>
      <c r="D38" s="7" t="n">
        <v>600</v>
      </c>
      <c r="E38" s="7" t="n">
        <v>350</v>
      </c>
      <c r="F38" s="8" t="s">
        <v>114</v>
      </c>
    </row>
    <row r="39" customFormat="false" ht="15" hidden="false" customHeight="false" outlineLevel="0" collapsed="false">
      <c r="A39" s="6"/>
      <c r="B39" s="6" t="s">
        <v>115</v>
      </c>
      <c r="C39" s="7" t="n">
        <v>80</v>
      </c>
      <c r="D39" s="7" t="n">
        <v>400</v>
      </c>
      <c r="E39" s="7" t="n">
        <v>200</v>
      </c>
      <c r="F39" s="8" t="s">
        <v>116</v>
      </c>
    </row>
    <row r="40" customFormat="false" ht="15" hidden="false" customHeight="false" outlineLevel="0" collapsed="false">
      <c r="A40" s="6"/>
      <c r="B40" s="6" t="s">
        <v>117</v>
      </c>
      <c r="C40" s="7" t="n">
        <v>180</v>
      </c>
      <c r="D40" s="7" t="n">
        <v>500</v>
      </c>
      <c r="E40" s="7" t="n">
        <v>300</v>
      </c>
      <c r="F40" s="8" t="s">
        <v>118</v>
      </c>
    </row>
    <row r="41" customFormat="false" ht="15" hidden="false" customHeight="false" outlineLevel="0" collapsed="false">
      <c r="A41" s="6"/>
      <c r="B41" s="6" t="s">
        <v>119</v>
      </c>
      <c r="C41" s="7" t="n">
        <v>150</v>
      </c>
      <c r="D41" s="7" t="n">
        <v>350</v>
      </c>
      <c r="E41" s="7" t="n">
        <v>220</v>
      </c>
      <c r="F41" s="8" t="s">
        <v>120</v>
      </c>
    </row>
    <row r="42" customFormat="false" ht="15" hidden="false" customHeight="false" outlineLevel="0" collapsed="false">
      <c r="A42" s="6"/>
      <c r="B42" s="6" t="s">
        <v>121</v>
      </c>
      <c r="C42" s="7" t="n">
        <v>40</v>
      </c>
      <c r="D42" s="7" t="n">
        <v>200</v>
      </c>
      <c r="E42" s="7" t="n">
        <v>100</v>
      </c>
      <c r="F42" s="8" t="s">
        <v>122</v>
      </c>
    </row>
    <row r="43" customFormat="false" ht="15" hidden="false" customHeight="false" outlineLevel="0" collapsed="false">
      <c r="A43" s="6"/>
      <c r="B43" s="6" t="s">
        <v>123</v>
      </c>
      <c r="C43" s="7" t="n">
        <v>80</v>
      </c>
      <c r="D43" s="7" t="n">
        <v>400</v>
      </c>
      <c r="E43" s="7" t="n">
        <v>200</v>
      </c>
      <c r="F43" s="8" t="s">
        <v>124</v>
      </c>
    </row>
    <row r="44" customFormat="false" ht="15" hidden="false" customHeight="false" outlineLevel="0" collapsed="false">
      <c r="A44" s="6"/>
      <c r="B44" s="6" t="s">
        <v>125</v>
      </c>
      <c r="C44" s="7" t="n">
        <v>60</v>
      </c>
      <c r="D44" s="7" t="n">
        <v>120</v>
      </c>
      <c r="E44" s="7" t="n">
        <v>80</v>
      </c>
      <c r="F44" s="8" t="s">
        <v>126</v>
      </c>
    </row>
    <row r="45" customFormat="false" ht="15" hidden="false" customHeight="false" outlineLevel="0" collapsed="false">
      <c r="A45" s="6"/>
      <c r="B45" s="6" t="s">
        <v>127</v>
      </c>
      <c r="C45" s="7" t="n">
        <v>100</v>
      </c>
      <c r="D45" s="7" t="n">
        <v>300</v>
      </c>
      <c r="E45" s="7" t="n">
        <v>180</v>
      </c>
      <c r="F45" s="8" t="s">
        <v>128</v>
      </c>
    </row>
    <row r="46" customFormat="false" ht="15" hidden="false" customHeight="false" outlineLevel="0" collapsed="false">
      <c r="A46" s="13" t="s">
        <v>129</v>
      </c>
      <c r="B46" s="13"/>
      <c r="C46" s="14" t="n">
        <f aca="false">SUM(C37:C45)</f>
        <v>990</v>
      </c>
      <c r="D46" s="14" t="n">
        <f aca="false">SUM(D37:D45)</f>
        <v>3470</v>
      </c>
      <c r="E46" s="14" t="n">
        <f aca="false">SUM(E37:E45)</f>
        <v>1930</v>
      </c>
      <c r="F46" s="15"/>
    </row>
    <row r="48" customFormat="false" ht="15" hidden="false" customHeight="false" outlineLevel="0" collapsed="false">
      <c r="A48" s="16" t="s">
        <v>130</v>
      </c>
      <c r="B48" s="16"/>
      <c r="C48" s="17" t="n">
        <f aca="false">(E9+E16+E23+E28+E31+E35+E46)*0.1</f>
        <v>1891</v>
      </c>
      <c r="D48" s="17" t="n">
        <f aca="false">(E9+E16+E23+E28+E31+E35+E46)*0.1</f>
        <v>1891</v>
      </c>
      <c r="E48" s="17" t="n">
        <f aca="false">(E9+E16+E23+E28+E31+E35+E46)*0.1</f>
        <v>1891</v>
      </c>
      <c r="F48" s="18" t="s">
        <v>131</v>
      </c>
    </row>
    <row r="49" customFormat="false" ht="15" hidden="false" customHeight="false" outlineLevel="0" collapsed="false">
      <c r="A49" s="19" t="s">
        <v>132</v>
      </c>
      <c r="B49" s="19"/>
      <c r="C49" s="20" t="n">
        <f aca="false">SUMIF(A5:A48,"&lt;&gt;*SUBTOTAL*",C5:C48)</f>
        <v>15661</v>
      </c>
      <c r="D49" s="20" t="n">
        <f aca="false">SUMIF(A5:A48,"&lt;&gt;*SUBTOTAL*",D5:D48)</f>
        <v>32811</v>
      </c>
      <c r="E49" s="20" t="n">
        <f aca="false">E9+E16+E23+E28+E31+E35+E46+E48</f>
        <v>20801</v>
      </c>
      <c r="F49" s="21" t="s">
        <v>133</v>
      </c>
    </row>
  </sheetData>
  <mergeCells count="18">
    <mergeCell ref="A1:F1"/>
    <mergeCell ref="A2:F2"/>
    <mergeCell ref="A5:F5"/>
    <mergeCell ref="A9:B9"/>
    <mergeCell ref="A10:F10"/>
    <mergeCell ref="A16:B16"/>
    <mergeCell ref="A17:F17"/>
    <mergeCell ref="A23:B23"/>
    <mergeCell ref="A24:F24"/>
    <mergeCell ref="A28:B28"/>
    <mergeCell ref="A29:F29"/>
    <mergeCell ref="A31:B31"/>
    <mergeCell ref="A32:F32"/>
    <mergeCell ref="A35:B35"/>
    <mergeCell ref="A36:F36"/>
    <mergeCell ref="A46:B46"/>
    <mergeCell ref="A48:B48"/>
    <mergeCell ref="A49:B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4" min="3" style="0" width="18"/>
    <col collapsed="false" customWidth="true" hidden="false" outlineLevel="0" max="5" min="5" style="0" width="36"/>
  </cols>
  <sheetData>
    <row r="1" customFormat="false" ht="36" hidden="false" customHeight="true" outlineLevel="0" collapsed="false">
      <c r="A1" s="1" t="s">
        <v>134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135</v>
      </c>
      <c r="B2" s="2"/>
      <c r="C2" s="2"/>
      <c r="D2" s="2"/>
      <c r="E2" s="2"/>
    </row>
    <row r="4" customFormat="false" ht="15" hidden="false" customHeight="false" outlineLevel="0" collapsed="false">
      <c r="A4" s="22" t="s">
        <v>136</v>
      </c>
      <c r="B4" s="22"/>
      <c r="C4" s="22"/>
      <c r="D4" s="22"/>
      <c r="E4" s="22"/>
    </row>
    <row r="5" customFormat="false" ht="15" hidden="false" customHeight="false" outlineLevel="0" collapsed="false">
      <c r="A5" s="4" t="s">
        <v>3</v>
      </c>
      <c r="B5" s="5" t="s">
        <v>137</v>
      </c>
      <c r="C5" s="5" t="s">
        <v>138</v>
      </c>
      <c r="D5" s="5" t="s">
        <v>139</v>
      </c>
      <c r="E5" s="4" t="s">
        <v>5</v>
      </c>
    </row>
    <row r="6" customFormat="false" ht="15" hidden="false" customHeight="false" outlineLevel="0" collapsed="false">
      <c r="A6" s="6" t="s">
        <v>140</v>
      </c>
      <c r="B6" s="23" t="n">
        <f aca="false">Assumptions!B6</f>
        <v>1800</v>
      </c>
      <c r="C6" s="24" t="n">
        <f aca="false">Assumptions!B8-Assumptions!B7</f>
        <v>9</v>
      </c>
      <c r="D6" s="25" t="n">
        <f aca="false">B6*C6</f>
        <v>16200</v>
      </c>
      <c r="E6" s="8" t="s">
        <v>141</v>
      </c>
    </row>
    <row r="7" customFormat="false" ht="15" hidden="false" customHeight="false" outlineLevel="0" collapsed="false">
      <c r="A7" s="6" t="s">
        <v>142</v>
      </c>
      <c r="B7" s="23" t="n">
        <f aca="false">Assumptions!B9</f>
        <v>200</v>
      </c>
      <c r="C7" s="24" t="n">
        <f aca="false">Assumptions!B8</f>
        <v>12</v>
      </c>
      <c r="D7" s="25" t="n">
        <f aca="false">B7*C7</f>
        <v>2400</v>
      </c>
      <c r="E7" s="8" t="s">
        <v>143</v>
      </c>
    </row>
    <row r="8" customFormat="false" ht="15" hidden="false" customHeight="false" outlineLevel="0" collapsed="false">
      <c r="A8" s="6" t="s">
        <v>144</v>
      </c>
      <c r="B8" s="23" t="n">
        <f aca="false">Assumptions!B10</f>
        <v>80</v>
      </c>
      <c r="C8" s="24" t="n">
        <f aca="false">Assumptions!B8</f>
        <v>12</v>
      </c>
      <c r="D8" s="25" t="n">
        <f aca="false">B8*C8</f>
        <v>960</v>
      </c>
      <c r="E8" s="8" t="s">
        <v>143</v>
      </c>
    </row>
    <row r="9" customFormat="false" ht="15" hidden="false" customHeight="false" outlineLevel="0" collapsed="false">
      <c r="A9" s="6" t="s">
        <v>145</v>
      </c>
      <c r="B9" s="23" t="n">
        <f aca="false">Assumptions!B11</f>
        <v>120</v>
      </c>
      <c r="C9" s="24" t="n">
        <f aca="false">Assumptions!B8</f>
        <v>12</v>
      </c>
      <c r="D9" s="25" t="n">
        <f aca="false">B9*C9</f>
        <v>1440</v>
      </c>
      <c r="E9" s="8" t="s">
        <v>143</v>
      </c>
    </row>
    <row r="10" customFormat="false" ht="15" hidden="false" customHeight="false" outlineLevel="0" collapsed="false">
      <c r="A10" s="6" t="s">
        <v>146</v>
      </c>
      <c r="B10" s="23" t="n">
        <f aca="false">Assumptions!B12</f>
        <v>80</v>
      </c>
      <c r="C10" s="24" t="n">
        <f aca="false">Assumptions!B8</f>
        <v>12</v>
      </c>
      <c r="D10" s="25" t="n">
        <f aca="false">B10*C10</f>
        <v>960</v>
      </c>
      <c r="E10" s="8" t="s">
        <v>143</v>
      </c>
    </row>
    <row r="11" customFormat="false" ht="15" hidden="false" customHeight="false" outlineLevel="0" collapsed="false">
      <c r="A11" s="6" t="s">
        <v>147</v>
      </c>
      <c r="B11" s="23" t="n">
        <f aca="false">Assumptions!B13</f>
        <v>60</v>
      </c>
      <c r="C11" s="24" t="n">
        <f aca="false">Assumptions!B8</f>
        <v>12</v>
      </c>
      <c r="D11" s="25" t="n">
        <f aca="false">B11*C11</f>
        <v>720</v>
      </c>
      <c r="E11" s="8" t="s">
        <v>143</v>
      </c>
    </row>
    <row r="12" customFormat="false" ht="15" hidden="false" customHeight="false" outlineLevel="0" collapsed="false">
      <c r="A12" s="6" t="s">
        <v>148</v>
      </c>
      <c r="B12" s="23" t="n">
        <f aca="false">Assumptions!B14</f>
        <v>50</v>
      </c>
      <c r="C12" s="24" t="n">
        <f aca="false">Assumptions!B8</f>
        <v>12</v>
      </c>
      <c r="D12" s="25" t="n">
        <f aca="false">B12*C12</f>
        <v>600</v>
      </c>
      <c r="E12" s="8" t="s">
        <v>143</v>
      </c>
    </row>
    <row r="13" customFormat="false" ht="15" hidden="false" customHeight="false" outlineLevel="0" collapsed="false">
      <c r="A13" s="6" t="s">
        <v>149</v>
      </c>
      <c r="B13" s="23" t="n">
        <f aca="false">Assumptions!B10*Assumptions!B15</f>
        <v>8</v>
      </c>
      <c r="C13" s="24" t="s">
        <v>150</v>
      </c>
      <c r="D13" s="25" t="n">
        <f aca="false">B13*C13</f>
        <v>56</v>
      </c>
      <c r="E13" s="8" t="s">
        <v>151</v>
      </c>
    </row>
    <row r="14" customFormat="false" ht="15" hidden="false" customHeight="false" outlineLevel="0" collapsed="false">
      <c r="A14" s="6" t="s">
        <v>152</v>
      </c>
      <c r="B14" s="23" t="s">
        <v>153</v>
      </c>
      <c r="C14" s="24" t="n">
        <f aca="false">Assumptions!B8</f>
        <v>12</v>
      </c>
      <c r="D14" s="25" t="n">
        <f aca="false">B14*C14</f>
        <v>240</v>
      </c>
      <c r="E14" s="8" t="s">
        <v>154</v>
      </c>
    </row>
    <row r="15" customFormat="false" ht="15" hidden="false" customHeight="false" outlineLevel="0" collapsed="false">
      <c r="A15" s="13" t="s">
        <v>155</v>
      </c>
      <c r="B15" s="13"/>
      <c r="C15" s="13"/>
      <c r="D15" s="14" t="n">
        <f aca="false">SUM(D6:D14)</f>
        <v>23576</v>
      </c>
      <c r="E15" s="15"/>
    </row>
    <row r="17" customFormat="false" ht="15" hidden="false" customHeight="false" outlineLevel="0" collapsed="false">
      <c r="A17" s="22" t="s">
        <v>156</v>
      </c>
      <c r="B17" s="22"/>
      <c r="C17" s="22"/>
      <c r="D17" s="22"/>
      <c r="E17" s="22"/>
    </row>
    <row r="18" customFormat="false" ht="15" hidden="false" customHeight="false" outlineLevel="0" collapsed="false">
      <c r="A18" s="4" t="s">
        <v>157</v>
      </c>
      <c r="B18" s="5" t="s">
        <v>158</v>
      </c>
      <c r="C18" s="5" t="s">
        <v>159</v>
      </c>
      <c r="D18" s="5" t="s">
        <v>160</v>
      </c>
      <c r="E18" s="4" t="s">
        <v>5</v>
      </c>
    </row>
    <row r="19" customFormat="false" ht="15" hidden="false" customHeight="false" outlineLevel="0" collapsed="false">
      <c r="A19" s="26" t="s">
        <v>161</v>
      </c>
      <c r="B19" s="27" t="n">
        <f aca="false">Assumptions!B19*Assumptions!B20</f>
        <v>10800</v>
      </c>
      <c r="C19" s="28" t="n">
        <f aca="false">-(Assumptions!B21+Assumptions!B22+Assumptions!B23)</f>
        <v>-7600</v>
      </c>
      <c r="D19" s="29" t="n">
        <f aca="false">B19+C19</f>
        <v>3200</v>
      </c>
      <c r="E19" s="30" t="s">
        <v>162</v>
      </c>
    </row>
    <row r="20" customFormat="false" ht="15" hidden="false" customHeight="false" outlineLevel="0" collapsed="false">
      <c r="A20" s="26" t="s">
        <v>163</v>
      </c>
      <c r="B20" s="27" t="n">
        <f aca="false">Assumptions!B24</f>
        <v>6500</v>
      </c>
      <c r="C20" s="31" t="s">
        <v>164</v>
      </c>
      <c r="D20" s="29" t="n">
        <f aca="false">B20</f>
        <v>6500</v>
      </c>
      <c r="E20" s="30" t="s">
        <v>165</v>
      </c>
    </row>
    <row r="21" customFormat="false" ht="15" hidden="false" customHeight="false" outlineLevel="0" collapsed="false">
      <c r="A21" s="26" t="s">
        <v>166</v>
      </c>
      <c r="B21" s="27" t="n">
        <f aca="false">Assumptions!B28*Assumptions!C28*Assumptions!D28</f>
        <v>4375</v>
      </c>
      <c r="C21" s="28" t="n">
        <f aca="false">-(B21*Assumptions!B15)</f>
        <v>-437.5</v>
      </c>
      <c r="D21" s="29" t="n">
        <f aca="false">B21+C21</f>
        <v>3937.5</v>
      </c>
      <c r="E21" s="30" t="s">
        <v>167</v>
      </c>
    </row>
    <row r="22" customFormat="false" ht="15" hidden="false" customHeight="false" outlineLevel="0" collapsed="false">
      <c r="A22" s="26" t="s">
        <v>168</v>
      </c>
      <c r="B22" s="27" t="n">
        <f aca="false">Assumptions!B29*Assumptions!C29*Assumptions!D29</f>
        <v>4200</v>
      </c>
      <c r="C22" s="28" t="n">
        <f aca="false">-(B22*Assumptions!B15)</f>
        <v>-420</v>
      </c>
      <c r="D22" s="29" t="n">
        <f aca="false">B22+C22</f>
        <v>3780</v>
      </c>
      <c r="E22" s="30" t="s">
        <v>167</v>
      </c>
    </row>
    <row r="23" customFormat="false" ht="15" hidden="false" customHeight="false" outlineLevel="0" collapsed="false">
      <c r="A23" s="26" t="s">
        <v>169</v>
      </c>
      <c r="B23" s="27" t="n">
        <f aca="false">Assumptions!B30*Assumptions!C30*Assumptions!D30</f>
        <v>4200</v>
      </c>
      <c r="C23" s="28" t="n">
        <f aca="false">-(B23*Assumptions!B15)</f>
        <v>-420</v>
      </c>
      <c r="D23" s="29" t="n">
        <f aca="false">B23+C23</f>
        <v>3780</v>
      </c>
      <c r="E23" s="30" t="s">
        <v>167</v>
      </c>
    </row>
    <row r="24" customFormat="false" ht="15" hidden="false" customHeight="false" outlineLevel="0" collapsed="false">
      <c r="A24" s="26" t="s">
        <v>170</v>
      </c>
      <c r="B24" s="27" t="n">
        <f aca="false">Assumptions!B34*Assumptions!B35*Assumptions!B36</f>
        <v>4000</v>
      </c>
      <c r="C24" s="31" t="s">
        <v>164</v>
      </c>
      <c r="D24" s="29" t="n">
        <f aca="false">B24</f>
        <v>4000</v>
      </c>
      <c r="E24" s="30" t="s">
        <v>171</v>
      </c>
    </row>
    <row r="25" customFormat="false" ht="15" hidden="false" customHeight="false" outlineLevel="0" collapsed="false">
      <c r="A25" s="13" t="s">
        <v>172</v>
      </c>
      <c r="B25" s="13"/>
      <c r="C25" s="13"/>
      <c r="D25" s="14" t="n">
        <f aca="false">SUM(D19:D24)</f>
        <v>25197.5</v>
      </c>
      <c r="E25" s="15"/>
    </row>
    <row r="27" customFormat="false" ht="15" hidden="false" customHeight="false" outlineLevel="0" collapsed="false">
      <c r="A27" s="22" t="s">
        <v>173</v>
      </c>
      <c r="B27" s="22"/>
      <c r="C27" s="22"/>
      <c r="D27" s="22"/>
      <c r="E27" s="22"/>
    </row>
    <row r="28" customFormat="false" ht="15" hidden="false" customHeight="false" outlineLevel="0" collapsed="false">
      <c r="A28" s="32" t="s">
        <v>174</v>
      </c>
      <c r="B28" s="33" t="n">
        <f aca="false">30000</f>
        <v>30000</v>
      </c>
      <c r="C28" s="34"/>
      <c r="D28" s="34"/>
      <c r="E28" s="34"/>
    </row>
    <row r="29" customFormat="false" ht="15" hidden="false" customHeight="false" outlineLevel="0" collapsed="false">
      <c r="A29" s="26" t="s">
        <v>175</v>
      </c>
      <c r="B29" s="35" t="n">
        <f aca="false">-'Build-Out'!E62</f>
        <v>-0</v>
      </c>
      <c r="C29" s="34"/>
      <c r="D29" s="34"/>
      <c r="E29" s="34"/>
    </row>
    <row r="30" customFormat="false" ht="15" hidden="false" customHeight="false" outlineLevel="0" collapsed="false">
      <c r="A30" s="26" t="s">
        <v>176</v>
      </c>
      <c r="B30" s="35" t="n">
        <f aca="false">-D15</f>
        <v>-23576</v>
      </c>
      <c r="C30" s="34"/>
      <c r="D30" s="34"/>
      <c r="E30" s="34"/>
    </row>
    <row r="31" customFormat="false" ht="15" hidden="false" customHeight="false" outlineLevel="0" collapsed="false">
      <c r="A31" s="36" t="s">
        <v>177</v>
      </c>
      <c r="B31" s="37" t="n">
        <f aca="false">D25</f>
        <v>25197.5</v>
      </c>
      <c r="C31" s="38"/>
      <c r="D31" s="38"/>
      <c r="E31" s="38"/>
    </row>
    <row r="32" customFormat="false" ht="15" hidden="false" customHeight="false" outlineLevel="0" collapsed="false">
      <c r="A32" s="4" t="s">
        <v>178</v>
      </c>
      <c r="B32" s="39" t="n">
        <f aca="false">B28+B29+B30+B31</f>
        <v>31621.5</v>
      </c>
      <c r="C32" s="40"/>
      <c r="D32" s="40"/>
      <c r="E32" s="40"/>
    </row>
    <row r="34" customFormat="false" ht="15" hidden="false" customHeight="false" outlineLevel="0" collapsed="false">
      <c r="A34" s="41" t="s">
        <v>179</v>
      </c>
      <c r="B34" s="41"/>
      <c r="C34" s="41"/>
      <c r="D34" s="41"/>
      <c r="E34" s="41"/>
    </row>
  </sheetData>
  <mergeCells count="13">
    <mergeCell ref="A1:E1"/>
    <mergeCell ref="A2:E2"/>
    <mergeCell ref="A4:E4"/>
    <mergeCell ref="A15:C15"/>
    <mergeCell ref="A17:E17"/>
    <mergeCell ref="A25:C25"/>
    <mergeCell ref="A27:E27"/>
    <mergeCell ref="C28:E28"/>
    <mergeCell ref="C29:E29"/>
    <mergeCell ref="C30:E30"/>
    <mergeCell ref="C31:E31"/>
    <mergeCell ref="C32:E32"/>
    <mergeCell ref="A34:E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6" min="4" style="0" width="16"/>
    <col collapsed="false" customWidth="true" hidden="false" outlineLevel="0" max="7" min="7" style="0" width="36"/>
  </cols>
  <sheetData>
    <row r="1" customFormat="false" ht="36" hidden="false" customHeight="true" outlineLevel="0" collapsed="false">
      <c r="A1" s="1" t="s">
        <v>180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181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11" t="s">
        <v>182</v>
      </c>
      <c r="B4" s="11" t="s">
        <v>183</v>
      </c>
      <c r="C4" s="11" t="s">
        <v>184</v>
      </c>
      <c r="D4" s="42" t="s">
        <v>185</v>
      </c>
      <c r="E4" s="42" t="s">
        <v>186</v>
      </c>
      <c r="F4" s="42" t="s">
        <v>187</v>
      </c>
      <c r="G4" s="42" t="s">
        <v>188</v>
      </c>
    </row>
    <row r="5" customFormat="false" ht="15" hidden="false" customHeight="false" outlineLevel="0" collapsed="false">
      <c r="A5" s="43" t="s">
        <v>189</v>
      </c>
      <c r="B5" s="6" t="s">
        <v>190</v>
      </c>
      <c r="C5" s="8" t="s">
        <v>191</v>
      </c>
      <c r="D5" s="44" t="n">
        <v>0</v>
      </c>
      <c r="E5" s="45" t="n">
        <v>8000</v>
      </c>
      <c r="F5" s="46" t="n">
        <f aca="false">D5-E5</f>
        <v>-8000</v>
      </c>
      <c r="G5" s="14" t="n">
        <f aca="false">30000+F5</f>
        <v>22000</v>
      </c>
    </row>
    <row r="6" customFormat="false" ht="15" hidden="false" customHeight="false" outlineLevel="0" collapsed="false">
      <c r="A6" s="43" t="s">
        <v>192</v>
      </c>
      <c r="B6" s="6" t="s">
        <v>193</v>
      </c>
      <c r="C6" s="8" t="s">
        <v>194</v>
      </c>
      <c r="D6" s="44" t="n">
        <v>0</v>
      </c>
      <c r="E6" s="45" t="n">
        <v>6000</v>
      </c>
      <c r="F6" s="46" t="n">
        <f aca="false">D6-E6</f>
        <v>-6000</v>
      </c>
      <c r="G6" s="14" t="n">
        <f aca="false">G5+F6</f>
        <v>16000</v>
      </c>
    </row>
    <row r="7" customFormat="false" ht="15" hidden="false" customHeight="false" outlineLevel="0" collapsed="false">
      <c r="A7" s="43" t="s">
        <v>195</v>
      </c>
      <c r="B7" s="6" t="s">
        <v>196</v>
      </c>
      <c r="C7" s="8" t="s">
        <v>197</v>
      </c>
      <c r="D7" s="44" t="n">
        <v>0</v>
      </c>
      <c r="E7" s="45" t="n">
        <v>3000</v>
      </c>
      <c r="F7" s="46" t="n">
        <f aca="false">D7-E7</f>
        <v>-3000</v>
      </c>
      <c r="G7" s="14" t="n">
        <f aca="false">G6+F7</f>
        <v>13000</v>
      </c>
    </row>
    <row r="8" customFormat="false" ht="15" hidden="false" customHeight="false" outlineLevel="0" collapsed="false">
      <c r="A8" s="43" t="s">
        <v>198</v>
      </c>
      <c r="B8" s="6" t="s">
        <v>199</v>
      </c>
      <c r="C8" s="8" t="s">
        <v>200</v>
      </c>
      <c r="D8" s="47" t="n">
        <v>1800</v>
      </c>
      <c r="E8" s="45" t="n">
        <v>3200</v>
      </c>
      <c r="F8" s="46" t="n">
        <f aca="false">D8-E8</f>
        <v>-1400</v>
      </c>
      <c r="G8" s="14" t="n">
        <f aca="false">G7+F8</f>
        <v>11600</v>
      </c>
    </row>
    <row r="9" customFormat="false" ht="15" hidden="false" customHeight="false" outlineLevel="0" collapsed="false">
      <c r="A9" s="43" t="s">
        <v>201</v>
      </c>
      <c r="B9" s="6" t="s">
        <v>202</v>
      </c>
      <c r="C9" s="8" t="s">
        <v>203</v>
      </c>
      <c r="D9" s="47" t="n">
        <v>2800</v>
      </c>
      <c r="E9" s="45" t="n">
        <v>1800</v>
      </c>
      <c r="F9" s="48" t="n">
        <f aca="false">D9-E9</f>
        <v>1000</v>
      </c>
      <c r="G9" s="14" t="n">
        <f aca="false">G8+F9</f>
        <v>12600</v>
      </c>
    </row>
    <row r="10" customFormat="false" ht="15" hidden="false" customHeight="false" outlineLevel="0" collapsed="false">
      <c r="A10" s="43" t="s">
        <v>204</v>
      </c>
      <c r="B10" s="6" t="s">
        <v>205</v>
      </c>
      <c r="C10" s="8" t="s">
        <v>206</v>
      </c>
      <c r="D10" s="47" t="n">
        <v>3200</v>
      </c>
      <c r="E10" s="45" t="n">
        <v>2000</v>
      </c>
      <c r="F10" s="48" t="n">
        <f aca="false">D10-E10</f>
        <v>1200</v>
      </c>
      <c r="G10" s="14" t="n">
        <f aca="false">G9+F10</f>
        <v>13800</v>
      </c>
    </row>
    <row r="11" customFormat="false" ht="15" hidden="false" customHeight="false" outlineLevel="0" collapsed="false">
      <c r="A11" s="43" t="s">
        <v>207</v>
      </c>
      <c r="B11" s="6" t="s">
        <v>208</v>
      </c>
      <c r="C11" s="8" t="s">
        <v>209</v>
      </c>
      <c r="D11" s="47" t="n">
        <v>4200</v>
      </c>
      <c r="E11" s="45" t="n">
        <v>2500</v>
      </c>
      <c r="F11" s="48" t="n">
        <f aca="false">D11-E11</f>
        <v>1700</v>
      </c>
      <c r="G11" s="14" t="n">
        <f aca="false">G10+F11</f>
        <v>15500</v>
      </c>
    </row>
    <row r="12" customFormat="false" ht="15" hidden="false" customHeight="false" outlineLevel="0" collapsed="false">
      <c r="A12" s="43" t="s">
        <v>210</v>
      </c>
      <c r="B12" s="6" t="s">
        <v>211</v>
      </c>
      <c r="C12" s="8" t="s">
        <v>212</v>
      </c>
      <c r="D12" s="47" t="n">
        <v>10800</v>
      </c>
      <c r="E12" s="45" t="n">
        <v>4000</v>
      </c>
      <c r="F12" s="48" t="n">
        <f aca="false">D12-E12</f>
        <v>6800</v>
      </c>
      <c r="G12" s="14" t="n">
        <f aca="false">G11+F12</f>
        <v>22300</v>
      </c>
    </row>
    <row r="13" customFormat="false" ht="15" hidden="false" customHeight="false" outlineLevel="0" collapsed="false">
      <c r="A13" s="43" t="s">
        <v>213</v>
      </c>
      <c r="B13" s="6" t="s">
        <v>214</v>
      </c>
      <c r="C13" s="8" t="s">
        <v>215</v>
      </c>
      <c r="D13" s="47" t="n">
        <v>500</v>
      </c>
      <c r="E13" s="45" t="n">
        <v>9600</v>
      </c>
      <c r="F13" s="46" t="n">
        <f aca="false">D13-E13</f>
        <v>-9100</v>
      </c>
      <c r="G13" s="14" t="n">
        <f aca="false">G12+F13</f>
        <v>13200</v>
      </c>
    </row>
    <row r="14" customFormat="false" ht="15" hidden="false" customHeight="false" outlineLevel="0" collapsed="false">
      <c r="A14" s="43" t="s">
        <v>216</v>
      </c>
      <c r="B14" s="6" t="s">
        <v>217</v>
      </c>
      <c r="C14" s="8" t="s">
        <v>218</v>
      </c>
      <c r="D14" s="47" t="n">
        <v>2800</v>
      </c>
      <c r="E14" s="45" t="n">
        <v>2000</v>
      </c>
      <c r="F14" s="48" t="n">
        <f aca="false">D14-E14</f>
        <v>800</v>
      </c>
      <c r="G14" s="14" t="n">
        <f aca="false">G13+F14</f>
        <v>14000</v>
      </c>
    </row>
    <row r="15" customFormat="false" ht="15" hidden="false" customHeight="false" outlineLevel="0" collapsed="false">
      <c r="A15" s="43" t="s">
        <v>219</v>
      </c>
      <c r="B15" s="6" t="s">
        <v>220</v>
      </c>
      <c r="C15" s="8" t="s">
        <v>221</v>
      </c>
      <c r="D15" s="47" t="n">
        <v>10300</v>
      </c>
      <c r="E15" s="45" t="n">
        <v>2000</v>
      </c>
      <c r="F15" s="48" t="n">
        <f aca="false">D15-E15</f>
        <v>8300</v>
      </c>
      <c r="G15" s="14" t="n">
        <f aca="false">G14+F15</f>
        <v>22300</v>
      </c>
    </row>
    <row r="16" customFormat="false" ht="15" hidden="false" customHeight="false" outlineLevel="0" collapsed="false">
      <c r="A16" s="43" t="s">
        <v>222</v>
      </c>
      <c r="B16" s="6" t="s">
        <v>223</v>
      </c>
      <c r="C16" s="8" t="s">
        <v>224</v>
      </c>
      <c r="D16" s="47" t="n">
        <v>2800</v>
      </c>
      <c r="E16" s="45" t="n">
        <v>2000</v>
      </c>
      <c r="F16" s="48" t="n">
        <f aca="false">D16-E16</f>
        <v>800</v>
      </c>
      <c r="G16" s="14" t="n">
        <f aca="false">G15+F16</f>
        <v>23100</v>
      </c>
    </row>
    <row r="18" customFormat="false" ht="15" hidden="false" customHeight="false" outlineLevel="0" collapsed="false">
      <c r="A18" s="41" t="s">
        <v>225</v>
      </c>
      <c r="B18" s="41"/>
      <c r="C18" s="41"/>
      <c r="D18" s="41"/>
      <c r="E18" s="41"/>
      <c r="F18" s="41"/>
      <c r="G18" s="41"/>
    </row>
  </sheetData>
  <mergeCells count="3">
    <mergeCell ref="A1:G1"/>
    <mergeCell ref="A2:G2"/>
    <mergeCell ref="A18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2026-03-25T03:03:03Z</dcterms:created>
  <dc:creator>openpyxl</dc:creator>
  <dc:description/>
  <dc:language>en-US</dc:language>
  <cp:lastModifiedBy/>
  <dcterms:modified xsi:type="dcterms:W3CDTF">2026-03-25T03:03:03Z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