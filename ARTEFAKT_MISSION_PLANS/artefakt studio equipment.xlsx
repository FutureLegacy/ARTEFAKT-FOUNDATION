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Equipment List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<sst xmlns="http://schemas.openxmlformats.org/spreadsheetml/2006/main" count="668" uniqueCount="346">
  <si>
    <t xml:space="preserve">ARTEFAKT DOCUMENTARY ARTS FOUNDATION — Studio Equipment Master List</t>
  </si>
  <si>
    <t xml:space="preserve">1,700 sq ft Studio | Calgary, Alberta | Prices in CAD (Uline.ca + specialist suppliers) | Estimates current as of 2025</t>
  </si>
  <si>
    <t xml:space="preserve">#</t>
  </si>
  <si>
    <t xml:space="preserve">Item</t>
  </si>
  <si>
    <t xml:space="preserve">Category</t>
  </si>
  <si>
    <t xml:space="preserve">Description / Spec</t>
  </si>
  <si>
    <t xml:space="preserve">Uline Item #</t>
  </si>
  <si>
    <t xml:space="preserve">Qty</t>
  </si>
  <si>
    <t xml:space="preserve">Unit Price (CAD)</t>
  </si>
  <si>
    <t xml:space="preserve">Total (CAD)</t>
  </si>
  <si>
    <t xml:space="preserve">Phase</t>
  </si>
  <si>
    <t xml:space="preserve">Source</t>
  </si>
  <si>
    <t xml:space="preserve">Notes</t>
  </si>
  <si>
    <t xml:space="preserve">Heavy-Duty Steel Shelving Unit (72"H × 48"W × 18"D)</t>
  </si>
  <si>
    <t xml:space="preserve">Studio Infrastructure</t>
  </si>
  <si>
    <t xml:space="preserve">5-shelf boltless steel shelving, 800 lb capacity per shelf. For gear storage wall.</t>
  </si>
  <si>
    <t xml:space="preserve">H-4501</t>
  </si>
  <si>
    <t xml:space="preserve">1 — Essential</t>
  </si>
  <si>
    <t xml:space="preserve">Uline.ca</t>
  </si>
  <si>
    <t xml:space="preserve">Primary gear storage along back wall</t>
  </si>
  <si>
    <t xml:space="preserve">Industrial Packing / Work Table (60"W × 30"D)</t>
  </si>
  <si>
    <t xml:space="preserve">Maple top, steel frame, 34" height. Main editing and prep table.</t>
  </si>
  <si>
    <t xml:space="preserve">H-8400</t>
  </si>
  <si>
    <t xml:space="preserve">One for each studio zone</t>
  </si>
  <si>
    <t xml:space="preserve">Adjustable-Height Steel Workbench (72"W)</t>
  </si>
  <si>
    <t xml:space="preserve">Sit-stand electric workbench, 1.75" thick laminate top, 29"–45" range.</t>
  </si>
  <si>
    <t xml:space="preserve">H-7202</t>
  </si>
  <si>
    <t xml:space="preserve">Digital editing / retouching station</t>
  </si>
  <si>
    <t xml:space="preserve">Steel Mobile Utility Cart (3-shelf)</t>
  </si>
  <si>
    <t xml:space="preserve">600 lb capacity, locking casters, 18"×36". For equipment transport within studio.</t>
  </si>
  <si>
    <t xml:space="preserve">H-4929</t>
  </si>
  <si>
    <t xml:space="preserve">Rolling gear carts for set changes</t>
  </si>
  <si>
    <t xml:space="preserve">Wire Shelving Unit (74"H × 48"W × 18"D)</t>
  </si>
  <si>
    <t xml:space="preserve">Chrome wire shelving, 4-shelf, NSF listed. Good airflow — darkroom / wet lab area.</t>
  </si>
  <si>
    <t xml:space="preserve">H-2280</t>
  </si>
  <si>
    <t xml:space="preserve">Wet lab chemical &amp; supply storage</t>
  </si>
  <si>
    <t xml:space="preserve">Heavy-Duty Cabinet with Hasp (36"W × 18"D × 72"H)</t>
  </si>
  <si>
    <t xml:space="preserve">Welded steel, lockable. For sensitive gear, chemicals, archive media.</t>
  </si>
  <si>
    <t xml:space="preserve">H-1086</t>
  </si>
  <si>
    <t xml:space="preserve">Lockable secure storage</t>
  </si>
  <si>
    <t xml:space="preserve">Anti-Fatigue Mat (3/8" thick, 3×5 ft)</t>
  </si>
  <si>
    <t xml:space="preserve">Foam core, beveled edges. For long shoot / standing editing sessions.</t>
  </si>
  <si>
    <t xml:space="preserve">H-1149</t>
  </si>
  <si>
    <t xml:space="preserve">At each standing workstation</t>
  </si>
  <si>
    <t xml:space="preserve">Industrial Rubber Floor Mat (4×6 ft)</t>
  </si>
  <si>
    <t xml:space="preserve">1/2" ribbed rubber, durable. Studio shooting floor protection.</t>
  </si>
  <si>
    <t xml:space="preserve">H-6601</t>
  </si>
  <si>
    <t xml:space="preserve">Shooting zone floor coverage</t>
  </si>
  <si>
    <t xml:space="preserve">Folding Table (8 ft × 30")</t>
  </si>
  <si>
    <t xml:space="preserve">Heavy-duty resin top, steel legs, 6-pack. Workshop / crit layout tables.</t>
  </si>
  <si>
    <t xml:space="preserve">H-1450</t>
  </si>
  <si>
    <t xml:space="preserve">Education events — stackable when not in use</t>
  </si>
  <si>
    <t xml:space="preserve">Folding Chair, Padded</t>
  </si>
  <si>
    <t xml:space="preserve">Commercial grade, 300 lb capacity. Workshop seating.</t>
  </si>
  <si>
    <t xml:space="preserve">H-4290</t>
  </si>
  <si>
    <t xml:space="preserve">Education / workshop seating (buy 16)</t>
  </si>
  <si>
    <t xml:space="preserve">Stack Chair Dolly (for folding chairs)</t>
  </si>
  <si>
    <t xml:space="preserve">Holds up to 14 chairs, steel frame, wheeled.</t>
  </si>
  <si>
    <t xml:space="preserve">H-4401</t>
  </si>
  <si>
    <t xml:space="preserve">Chair storage</t>
  </si>
  <si>
    <t xml:space="preserve">Uline Step Stool / Platform (2-step, 500 lb cap.)</t>
  </si>
  <si>
    <t xml:space="preserve">Steel non-slip steps. For high shelving access.</t>
  </si>
  <si>
    <t xml:space="preserve">H-4621</t>
  </si>
  <si>
    <t xml:space="preserve">Wall-Mount Label Holders (clear, 4" × 1.25")</t>
  </si>
  <si>
    <t xml:space="preserve">100-pack, adhesive-backed. For shelf / bin labeling.</t>
  </si>
  <si>
    <t xml:space="preserve">H-6520</t>
  </si>
  <si>
    <t xml:space="preserve">Gear labeling system</t>
  </si>
  <si>
    <t xml:space="preserve">Industrial Pegboard Panel (48"×96") + Hook Kit</t>
  </si>
  <si>
    <t xml:space="preserve">4×8 ft steel pegboard with 100-piece hook assortment. Wall-mount accessory organizer.</t>
  </si>
  <si>
    <t xml:space="preserve">—</t>
  </si>
  <si>
    <t xml:space="preserve">Cables, grip, small accessories</t>
  </si>
  <si>
    <t xml:space="preserve">Profoto B10 Plus Strobe (250Ws, 2-light kit)</t>
  </si>
  <si>
    <t xml:space="preserve">Lighting &amp; Grip</t>
  </si>
  <si>
    <t xml:space="preserve">Battery-powered, HSS, TTL, 10-stop range. Core studio strobe kit.</t>
  </si>
  <si>
    <t xml:space="preserve">Specialist / B&amp;H</t>
  </si>
  <si>
    <t xml:space="preserve">Primary studio portrait/editorial strobe</t>
  </si>
  <si>
    <t xml:space="preserve">Profoto Octa Softbox 3 ft</t>
  </si>
  <si>
    <t xml:space="preserve">Quick-release, flat-front for even light. Key light modifier.</t>
  </si>
  <si>
    <t xml:space="preserve">Profoto Strip Softbox 1×4 ft</t>
  </si>
  <si>
    <t xml:space="preserve">For rim/hair light. Strong directional wrap.</t>
  </si>
  <si>
    <t xml:space="preserve">Westcott Scrim Jim Cine (4×4 ft frame + fabrics)</t>
  </si>
  <si>
    <t xml:space="preserve">Modular frame system with silk, diffusion, black. Documentary and portrait control.</t>
  </si>
  <si>
    <t xml:space="preserve">C-Stand (heavy-duty, 10.5 ft) with Grip Head</t>
  </si>
  <si>
    <t xml:space="preserve">Turtle base, 3-riser. Industry standard stand for modifiers and flags.</t>
  </si>
  <si>
    <t xml:space="preserve">Buy 4 minimum for workshop use</t>
  </si>
  <si>
    <t xml:space="preserve">Kupo Grip Arm / Magic Arm (10")</t>
  </si>
  <si>
    <t xml:space="preserve">Camera / monitor mount arm. Multiple uses on set.</t>
  </si>
  <si>
    <t xml:space="preserve">Specialist</t>
  </si>
  <si>
    <t xml:space="preserve">Speedrail / Crossbar for Seamless Paper</t>
  </si>
  <si>
    <t xml:space="preserve">Adjustable 9–13 ft span, fits 107" seamless rolls.</t>
  </si>
  <si>
    <t xml:space="preserve">Ceiling mount in studio</t>
  </si>
  <si>
    <t xml:space="preserve">Seamless Backdrop Paper (107", 12-yard rolls)</t>
  </si>
  <si>
    <t xml:space="preserve">White, black, grey — 3-roll starter set. Standard studio backdrop.</t>
  </si>
  <si>
    <t xml:space="preserve">White, Shadow Grey, Super Black</t>
  </si>
  <si>
    <t xml:space="preserve">Sandbags (25 lb, empty + fill kit)</t>
  </si>
  <si>
    <t xml:space="preserve">Canvas, double-bag design. C-stand and base ballast.</t>
  </si>
  <si>
    <t xml:space="preserve">Stainless Steel Spring Clamps (50-pack)</t>
  </si>
  <si>
    <t xml:space="preserve">Spring-loaded clamps. Gel, fabric, paper management.</t>
  </si>
  <si>
    <t xml:space="preserve">H-7080</t>
  </si>
  <si>
    <t xml:space="preserve">Extension Cord Reel, 12-gauge 50 ft (grounded)</t>
  </si>
  <si>
    <t xml:space="preserve">Retractable cord reel, 15A. Power distribution for lighting.</t>
  </si>
  <si>
    <t xml:space="preserve">H-5200</t>
  </si>
  <si>
    <t xml:space="preserve">One per lighting zone</t>
  </si>
  <si>
    <t xml:space="preserve">Power Bar / Surge Protector (8-outlet, 6 ft cord)</t>
  </si>
  <si>
    <t xml:space="preserve">Metal casing, 3,400J surge protection. Equipment protection.</t>
  </si>
  <si>
    <t xml:space="preserve">Uline.ca / local</t>
  </si>
  <si>
    <t xml:space="preserve">Gaffer Tape (2" × 55 yd, black) — 24 rolls</t>
  </si>
  <si>
    <t xml:space="preserve">Pro-grade cloth tape, clean-remove. Studio workhorse.</t>
  </si>
  <si>
    <t xml:space="preserve">S-14466</t>
  </si>
  <si>
    <t xml:space="preserve">Buy a case — you'll use it</t>
  </si>
  <si>
    <t xml:space="preserve">Foamcore / Black Board (32"×40", 25-pack)</t>
  </si>
  <si>
    <t xml:space="preserve">White/black foamcore for flags, bounce fill panels.</t>
  </si>
  <si>
    <t xml:space="preserve">Specialist / Staples</t>
  </si>
  <si>
    <t xml:space="preserve">Stainless Steel Sink (18"×18" utility)</t>
  </si>
  <si>
    <t xml:space="preserve">Darkroom &amp; Wet Lab</t>
  </si>
  <si>
    <t xml:space="preserve">Single basin, 10" deep. Darkroom chemical wash station. Requires plumbing.</t>
  </si>
  <si>
    <t xml:space="preserve">Local supply / Rona</t>
  </si>
  <si>
    <t xml:space="preserve">Tied to plumbing rough-in already planned</t>
  </si>
  <si>
    <t xml:space="preserve">Uline Poly Drum (5-gal, UN-rated, with lid)</t>
  </si>
  <si>
    <t xml:space="preserve">Chemical-resistant HDPE. Developer / fixer storage.</t>
  </si>
  <si>
    <t xml:space="preserve">H-3624</t>
  </si>
  <si>
    <t xml:space="preserve">Developer, stop, fixer, hypo, wash aid</t>
  </si>
  <si>
    <t xml:space="preserve">Chemical Storage Safety Cabinet (30-gal cap.)</t>
  </si>
  <si>
    <t xml:space="preserve">FM-approved, steel, self-closing doors. Darkroom chemistry.</t>
  </si>
  <si>
    <t xml:space="preserve">Code-compliant flammable/chemical storage</t>
  </si>
  <si>
    <t xml:space="preserve">Uline Stainless Steel Table (30"×72") — darkroom</t>
  </si>
  <si>
    <t xml:space="preserve">16-gauge 304 SS top, H-frame base. Chemical resistant wet surface.</t>
  </si>
  <si>
    <t xml:space="preserve">H-3508</t>
  </si>
  <si>
    <t xml:space="preserve">Primary enlarger / print developing table</t>
  </si>
  <si>
    <t xml:space="preserve">Print Developing Trays (11×14", set of 4)</t>
  </si>
  <si>
    <t xml:space="preserve">Polypropylene, ribbed bottom. Developer, stop, fix, wash.</t>
  </si>
  <si>
    <t xml:space="preserve">Two sets: 8×10 and 11×14</t>
  </si>
  <si>
    <t xml:space="preserve">Film Developing Tank + Reels (Paterson 2-reel)</t>
  </si>
  <si>
    <t xml:space="preserve">Dual reel universal tank. 35mm and 120 film compatible.</t>
  </si>
  <si>
    <t xml:space="preserve">4 tanks for workshop use</t>
  </si>
  <si>
    <t xml:space="preserve">Enlarger — Omega D2 or Beseler 23C (used/refurb)</t>
  </si>
  <si>
    <t xml:space="preserve">Variable contrast, 35mm and 120 capable. Core darkroom tool.</t>
  </si>
  <si>
    <t xml:space="preserve">Used / eBay / Kijiji</t>
  </si>
  <si>
    <t xml:space="preserve">Budget for used — still excellent</t>
  </si>
  <si>
    <t xml:space="preserve">Safelight (Thomas Duplex Super II or equiv.)</t>
  </si>
  <si>
    <t xml:space="preserve">15W OC filter. Print-safe amber illumination for paper work.</t>
  </si>
  <si>
    <t xml:space="preserve">Ventilation Fan (6" inline duct fan)</t>
  </si>
  <si>
    <t xml:space="preserve">150 CFM. Code-required venting for darkroom chemistry.</t>
  </si>
  <si>
    <t xml:space="preserve">HVAC / Rona</t>
  </si>
  <si>
    <t xml:space="preserve">Critical — hardwire install</t>
  </si>
  <si>
    <t xml:space="preserve">Darkroom Timer (Gralab 300 or digital equivalent)</t>
  </si>
  <si>
    <t xml:space="preserve">Analog GRA/LAB 300 or digital. Print / film timing.</t>
  </si>
  <si>
    <t xml:space="preserve">Print Drying Rack (20-slot, countertop)</t>
  </si>
  <si>
    <t xml:space="preserve">Fibreglass mesh racks. Flat drying, no curl.</t>
  </si>
  <si>
    <t xml:space="preserve">Chemical Mixing Jugs (1L, 2L, 4L graduated)</t>
  </si>
  <si>
    <t xml:space="preserve">PP graduated mixing containers with lids. 12-piece assortment.</t>
  </si>
  <si>
    <t xml:space="preserve">H-2700</t>
  </si>
  <si>
    <t xml:space="preserve">Thermometer (darkroom, alcohol + digital)</t>
  </si>
  <si>
    <t xml:space="preserve">Glass alcohol + Lufft digital. Critical for film dev temperature control.</t>
  </si>
  <si>
    <t xml:space="preserve">Uline Heavy-Duty Rubber Gloves (L, 12-pair)</t>
  </si>
  <si>
    <t xml:space="preserve">Chemical-resistant nitrile/neoprene. Developer/fixer handling.</t>
  </si>
  <si>
    <t xml:space="preserve">S-15403</t>
  </si>
  <si>
    <t xml:space="preserve">Eye Wash Station (wall-mount, self-contained)</t>
  </si>
  <si>
    <t xml:space="preserve">ANSI Z358.1 compliant. Required for chemical work area.</t>
  </si>
  <si>
    <t xml:space="preserve">H-3876</t>
  </si>
  <si>
    <t xml:space="preserve">Regulatory requirement</t>
  </si>
  <si>
    <t xml:space="preserve">Uline Spill Kit (10-gallon absorbent)</t>
  </si>
  <si>
    <t xml:space="preserve">Acid neutralizer + absorbent pillow. Chemical spill response.</t>
  </si>
  <si>
    <t xml:space="preserve">H-3800</t>
  </si>
  <si>
    <t xml:space="preserve">Epson Perfection V850 Pro Film Scanner</t>
  </si>
  <si>
    <t xml:space="preserve">Digital Workflow</t>
  </si>
  <si>
    <t xml:space="preserve">Dual-lens optics, 6400 dpi, 35mm/120/4×5 holders included. Archive-grade digitization.</t>
  </si>
  <si>
    <t xml:space="preserve">Primary film archive scanning</t>
  </si>
  <si>
    <t xml:space="preserve">NAS Storage Server (Synology DS1821+, 8-bay)</t>
  </si>
  <si>
    <t xml:space="preserve">Ryzen V1500B, 4GB ECC RAM. Core archive server. Pair with 16TB drives.</t>
  </si>
  <si>
    <t xml:space="preserve">Specialist / Memory Express</t>
  </si>
  <si>
    <t xml:space="preserve">Already explored — migrate from cloud subs</t>
  </si>
  <si>
    <t xml:space="preserve">NAS Hard Drives (Seagate IronWolf 8TB × 8)</t>
  </si>
  <si>
    <t xml:space="preserve">NAS-rated, 24/7 operation, 3-year warranty. RAID 6 config.</t>
  </si>
  <si>
    <t xml:space="preserve">RAID 6 = 2-drive redundancy</t>
  </si>
  <si>
    <t xml:space="preserve">UPS Battery Backup (APC 1500VA rack/tower)</t>
  </si>
  <si>
    <t xml:space="preserve">900W, 8 outlets, surge + sag protection. NAS + server protection.</t>
  </si>
  <si>
    <t xml:space="preserve">Uline.ca / Specialist</t>
  </si>
  <si>
    <t xml:space="preserve">Critical for archive protection</t>
  </si>
  <si>
    <t xml:space="preserve">Color Calibration Device (X-Rite i1Display Pro)</t>
  </si>
  <si>
    <t xml:space="preserve">Hardware monitor calibration. ICC profile management for print-accurate workflow.</t>
  </si>
  <si>
    <t xml:space="preserve">LED Light Box / Light Panel (A2, 5000K)</t>
  </si>
  <si>
    <t xml:space="preserve">Ultra-bright LED, CRI 95+. Contact sheet review and film inspection.</t>
  </si>
  <si>
    <t xml:space="preserve">Loupe / Film Magnifier (Schneider 4× or 8×)</t>
  </si>
  <si>
    <t xml:space="preserve">Folding loupe, anti-reflection coating. Negative inspection.</t>
  </si>
  <si>
    <t xml:space="preserve">3 for workshop use</t>
  </si>
  <si>
    <t xml:space="preserve">Cable Management Tray (under-desk, 39" wide)</t>
  </si>
  <si>
    <t xml:space="preserve">Steel cable raceway with mounting brackets. Studio tidy.</t>
  </si>
  <si>
    <t xml:space="preserve">H-8826</t>
  </si>
  <si>
    <t xml:space="preserve">Under each workstation</t>
  </si>
  <si>
    <t xml:space="preserve">Label Maker + Tape (Brother PT-E550W)</t>
  </si>
  <si>
    <t xml:space="preserve">Wi-Fi enabled industrial labeler. Drive, shelf, cable labeling.</t>
  </si>
  <si>
    <t xml:space="preserve">Uline.ca / Staples</t>
  </si>
  <si>
    <t xml:space="preserve">Mobile Whiteboard / Dry-Erase Board (48"×36")</t>
  </si>
  <si>
    <t xml:space="preserve">Education &amp; Workshop</t>
  </si>
  <si>
    <t xml:space="preserve">Double-sided, rolling stand. Critiques, lesson planning.</t>
  </si>
  <si>
    <t xml:space="preserve">H-2520</t>
  </si>
  <si>
    <t xml:space="preserve">Projector Mount / Ceiling Bracket (universal)</t>
  </si>
  <si>
    <t xml:space="preserve">Adjustable drop ceiling mount. For workshop presentations.</t>
  </si>
  <si>
    <t xml:space="preserve">Local / Amazon</t>
  </si>
  <si>
    <t xml:space="preserve">Pair with studio's own projector</t>
  </si>
  <si>
    <t xml:space="preserve">Projection Screen (100" diagonal, wall-mount)</t>
  </si>
  <si>
    <t xml:space="preserve">Matte white surface, 16:9. Portfolio review / crit projection.</t>
  </si>
  <si>
    <t xml:space="preserve">2 — Growth</t>
  </si>
  <si>
    <t xml:space="preserve">Print Display Rail System (5 ft, wall-mount)</t>
  </si>
  <si>
    <t xml:space="preserve">Aluminum hanging rail for print critiques. No holes in prints.</t>
  </si>
  <si>
    <t xml:space="preserve">Crit wall print display</t>
  </si>
  <si>
    <t xml:space="preserve">Print Clips / Hanging System (50-clip set)</t>
  </si>
  <si>
    <t xml:space="preserve">Bulldog-style clips + cord. Portfolio / crit print display.</t>
  </si>
  <si>
    <t xml:space="preserve">Specialist / Uline</t>
  </si>
  <si>
    <t xml:space="preserve">Locker / Storage Unit (12-cubby, individual locks)</t>
  </si>
  <si>
    <t xml:space="preserve">Steel laminate, 12 cubbies. Student / workshop participant gear storage.</t>
  </si>
  <si>
    <t xml:space="preserve">H-5480</t>
  </si>
  <si>
    <t xml:space="preserve">Workshop participant locker — also resale fulfillment</t>
  </si>
  <si>
    <t xml:space="preserve">First Aid Kit (50-person workplace kit)</t>
  </si>
  <si>
    <t xml:space="preserve">ANSI Class B, metal cabinet. Code-required for studio use.</t>
  </si>
  <si>
    <t xml:space="preserve">H-3658</t>
  </si>
  <si>
    <t xml:space="preserve">Fire Extinguisher (5 lb ABC dry chemical)</t>
  </si>
  <si>
    <t xml:space="preserve">Wall-mount bracket included. Required for darkroom + studio.</t>
  </si>
  <si>
    <t xml:space="preserve">Local fire supply</t>
  </si>
  <si>
    <t xml:space="preserve">Studio, darkroom, exit route</t>
  </si>
  <si>
    <t xml:space="preserve">AED (Automated External Defibrillator)</t>
  </si>
  <si>
    <t xml:space="preserve">Zoll AED Plus or Philips HeartStart. Public-use events best practice.</t>
  </si>
  <si>
    <t xml:space="preserve">3 — Year 2</t>
  </si>
  <si>
    <t xml:space="preserve">Recommended for public-event programming</t>
  </si>
  <si>
    <t xml:space="preserve">Archival Print Storage Box (16"×20", clamshell, 10-pack)</t>
  </si>
  <si>
    <t xml:space="preserve">Archive &amp; Preservation</t>
  </si>
  <si>
    <t xml:space="preserve">Acid-free, lignin-free. Print storage for archive and edition management.</t>
  </si>
  <si>
    <t xml:space="preserve">Specialist / Talas</t>
  </si>
  <si>
    <t xml:space="preserve">Foundation archive storage</t>
  </si>
  <si>
    <t xml:space="preserve">Archival Negative Storage Pages (35mm, 100-pk)</t>
  </si>
  <si>
    <t xml:space="preserve">Printfile polypropylene. Acid-free, anti-static. Negative filing.</t>
  </si>
  <si>
    <t xml:space="preserve">Archival Negative Storage Pages (120, 100-pk)</t>
  </si>
  <si>
    <t xml:space="preserve">Printfile polypropylene. Acid-free, anti-static. Medium format filing.</t>
  </si>
  <si>
    <t xml:space="preserve">Three-Ring Binders (archival, 3", 10-pack)</t>
  </si>
  <si>
    <t xml:space="preserve">D-ring, clear view cover. Negative page binder system.</t>
  </si>
  <si>
    <t xml:space="preserve">H-892</t>
  </si>
  <si>
    <t xml:space="preserve">Negative sleeve binders</t>
  </si>
  <si>
    <t xml:space="preserve">Uline Filing Cabinet (4-drawer lateral, locking)</t>
  </si>
  <si>
    <t xml:space="preserve">Letter/legal, full-suspension drawers. Project file and document archive.</t>
  </si>
  <si>
    <t xml:space="preserve">H-1200</t>
  </si>
  <si>
    <t xml:space="preserve">Archival Tissue (acid-free, interleaving, 100-sht)</t>
  </si>
  <si>
    <t xml:space="preserve">Glassine interleaving. Between prints and archival materials.</t>
  </si>
  <si>
    <t xml:space="preserve">Climate Sensor / Data Logger (temp + RH)</t>
  </si>
  <si>
    <t xml:space="preserve">HOBO MX2301 or equiv. Monitor archive storage conditions.</t>
  </si>
  <si>
    <t xml:space="preserve">Archive room + darkroom</t>
  </si>
  <si>
    <t xml:space="preserve">Uline Packing / Shipping Table (60"×30")</t>
  </si>
  <si>
    <t xml:space="preserve">Shipping &amp; Receiving</t>
  </si>
  <si>
    <t xml:space="preserve">Pegboard back panel, lower shelf. Print and gear shipping station.</t>
  </si>
  <si>
    <t xml:space="preserve">H-8404</t>
  </si>
  <si>
    <t xml:space="preserve">Print sales and edition shipping</t>
  </si>
  <si>
    <t xml:space="preserve">Uline Tape Dispenser (3" heavy-duty)</t>
  </si>
  <si>
    <t xml:space="preserve">Cast iron, adjustable tension. Print / box sealing.</t>
  </si>
  <si>
    <t xml:space="preserve">H-3680</t>
  </si>
  <si>
    <t xml:space="preserve">Uline Bubble Wrap Roll (12"×100 ft, 3/16")</t>
  </si>
  <si>
    <t xml:space="preserve">Perforated every 12". Print and equipment wrapping.</t>
  </si>
  <si>
    <t xml:space="preserve">S-5374</t>
  </si>
  <si>
    <t xml:space="preserve">Flat Print Mailers (16"×20", 25-pack)</t>
  </si>
  <si>
    <t xml:space="preserve">Rigid fiberboard, stay-flat. Print edition mailing.</t>
  </si>
  <si>
    <t xml:space="preserve">Kraft Paper Roll (36"×900 ft)</t>
  </si>
  <si>
    <t xml:space="preserve">40 lb natural kraft. Print wrapping / void fill.</t>
  </si>
  <si>
    <t xml:space="preserve">S-1879</t>
  </si>
  <si>
    <t xml:space="preserve">Postal Scale (digital, 150 lb capacity)</t>
  </si>
  <si>
    <t xml:space="preserve">USB connectivity, tare, lb/kg/oz. Shipping rate calculation.</t>
  </si>
  <si>
    <t xml:space="preserve">H-1430</t>
  </si>
  <si>
    <t xml:space="preserve">Safety Glasses (clear, 12-pack)</t>
  </si>
  <si>
    <t xml:space="preserve">Safety &amp; Janitorial</t>
  </si>
  <si>
    <t xml:space="preserve">ANSI Z87.1. Darkroom chemistry and studio work.</t>
  </si>
  <si>
    <t xml:space="preserve">S-22444</t>
  </si>
  <si>
    <t xml:space="preserve">Nitrile Gloves (powder-free, M &amp; L, 100-box)</t>
  </si>
  <si>
    <t xml:space="preserve">4 mil, latex-free. General studio / darkroom use.</t>
  </si>
  <si>
    <t xml:space="preserve">N95 Respirators (box of 20)</t>
  </si>
  <si>
    <t xml:space="preserve">3M 8210. Darkroom chemistry vapours and studio dust.</t>
  </si>
  <si>
    <t xml:space="preserve">Uline.ca / Safety supplier</t>
  </si>
  <si>
    <t xml:space="preserve">Mop + Bucket (commercial, 35 qt)</t>
  </si>
  <si>
    <t xml:space="preserve">Wringer bucket, loop-end mop. Darkroom and studio floor.</t>
  </si>
  <si>
    <t xml:space="preserve">H-3488</t>
  </si>
  <si>
    <t xml:space="preserve">Industrial Wet/Dry Vacuum (6 gal)</t>
  </si>
  <si>
    <t xml:space="preserve">Wall Vac or floor model, 5 hp. Darkroom and studio cleanup.</t>
  </si>
  <si>
    <t xml:space="preserve">Trash Cans with Lids (23-gal, 2-pack)</t>
  </si>
  <si>
    <t xml:space="preserve">Commercial Brute-style. Studio and darkroom waste.</t>
  </si>
  <si>
    <t xml:space="preserve">H-3578</t>
  </si>
  <si>
    <t xml:space="preserve">Paper Towel Dispenser + Rolls (commercial)</t>
  </si>
  <si>
    <t xml:space="preserve">Wall-mount auto-cut dispenser + 12-roll case. Darkroom and studio.</t>
  </si>
  <si>
    <t xml:space="preserve">H-1400</t>
  </si>
  <si>
    <t xml:space="preserve">Cove / Cyc Wall Build Materials (paint + curved base)</t>
  </si>
  <si>
    <t xml:space="preserve">Seamless curved cove at floor, 12 ft wide. White paint. Professional portrait/product shooting.</t>
  </si>
  <si>
    <t xml:space="preserve">Local contractor</t>
  </si>
  <si>
    <t xml:space="preserve">Major upgrade — greatly increases shoot value</t>
  </si>
  <si>
    <t xml:space="preserve">Overhead Rail / Track Lighting (LED, dimmable, 20 ft)</t>
  </si>
  <si>
    <t xml:space="preserve">Adjustable track heads, 3200K–5600K. Ambient studio fill.</t>
  </si>
  <si>
    <t xml:space="preserve">Local electrical</t>
  </si>
  <si>
    <t xml:space="preserve">Hardwire — requires electrician</t>
  </si>
  <si>
    <t xml:space="preserve">Profoto A-Series Flash (portable, TTL) × 2</t>
  </si>
  <si>
    <t xml:space="preserve">Portable on-camera / off-camera strobe. Workshop teaching flash.</t>
  </si>
  <si>
    <t xml:space="preserve">Workshop demo kit</t>
  </si>
  <si>
    <t xml:space="preserve">Green Screen / Chroma Key Backdrop (9×12 ft)</t>
  </si>
  <si>
    <t xml:space="preserve">Collapsible or roll-based. Digital media and social content production.</t>
  </si>
  <si>
    <t xml:space="preserve">Video Monitor (24", 4K, REC709 calibrated)</t>
  </si>
  <si>
    <t xml:space="preserve">SmallHD or Blackmagic Video Assist. Video / film post review.</t>
  </si>
  <si>
    <t xml:space="preserve">For film production pillar</t>
  </si>
  <si>
    <t xml:space="preserve">Sound Dampening Panels (2"×48"×24", 12-pack)</t>
  </si>
  <si>
    <t xml:space="preserve">Rockwool / acoustic foam panels. Interview and sound recording quality.</t>
  </si>
  <si>
    <t xml:space="preserve">Specialist / Amazon</t>
  </si>
  <si>
    <t xml:space="preserve">Workshop recordings, video interviews</t>
  </si>
  <si>
    <t xml:space="preserve">Podcast / Interview Mic Setup (Rode PodMic + arm)</t>
  </si>
  <si>
    <t xml:space="preserve">Dynamic broadcast mic, scissor arm, USB interface. Oral history and interviews.</t>
  </si>
  <si>
    <t xml:space="preserve">Oral history recording capacity</t>
  </si>
  <si>
    <t xml:space="preserve">Large-Format Inkjet Printer (Epson SC-P9570, 44")</t>
  </si>
  <si>
    <t xml:space="preserve">12-colour UltraChrome HDX. Museum-quality print editions up to 44" wide.</t>
  </si>
  <si>
    <t xml:space="preserve">Major investment — enables in-house edition printing</t>
  </si>
  <si>
    <t xml:space="preserve">Drum Scanner (Howtek, Aztek or equivalent, used)</t>
  </si>
  <si>
    <t xml:space="preserve">High-end wet-mount drum scanner. Archive-grade film digitization.</t>
  </si>
  <si>
    <t xml:space="preserve">Used / specialist</t>
  </si>
  <si>
    <t xml:space="preserve">Best-in-class legacy negative digitization</t>
  </si>
  <si>
    <t xml:space="preserve">Cold Storage Unit (archive fridge, 3.2 cu ft)</t>
  </si>
  <si>
    <t xml:space="preserve">Film and print cold storage, 35°F. Long-term archival conditions.</t>
  </si>
  <si>
    <t xml:space="preserve">Archival cold storage for film originals</t>
  </si>
  <si>
    <t xml:space="preserve">Video Production Cart (A/V rolling rack)</t>
  </si>
  <si>
    <t xml:space="preserve">16U rolling rack with drawer. Video production equipment organization.</t>
  </si>
  <si>
    <t xml:space="preserve">Portable LED Panel (Aputure LS 600D Pro)</t>
  </si>
  <si>
    <t xml:space="preserve">600W daylight LED, bowens mount, DMX. Cinematic film lighting.</t>
  </si>
  <si>
    <t xml:space="preserve">Film production capability</t>
  </si>
  <si>
    <t xml:space="preserve">Rolling Backdrop System (motorized, 3-position)</t>
  </si>
  <si>
    <t xml:space="preserve">Electric roll-up backdrop, 3 independent motors. Efficient set changes.</t>
  </si>
  <si>
    <t xml:space="preserve">High-volume commercial shoot capability</t>
  </si>
  <si>
    <t xml:space="preserve">Phase 1 — Essential Total</t>
  </si>
  <si>
    <t xml:space="preserve">Phase 2 — Growth Total</t>
  </si>
  <si>
    <t xml:space="preserve">Phase 3 — Year 2 Total</t>
  </si>
  <si>
    <t xml:space="preserve">GRAND TOTAL</t>
  </si>
  <si>
    <t xml:space="preserve">Note: Prices are estimated in CAD. Uline.ca items reflect current catalog pricing. Specialist items (B&amp;H, Memory Express, etc.) are market estimates. All prices subject to change. Phase 1 = purchase immediately. Phase 2 = within 6 months. Phase 3 = Year 2 wish list.</t>
  </si>
  <si>
    <t xml:space="preserve">ARTEFAKT — Studio Equipment Summary</t>
  </si>
  <si>
    <t xml:space="preserve">INVESTMENT BY PHASE</t>
  </si>
  <si>
    <t xml:space="preserve">Phase 1 — Essential (Buy Now)</t>
  </si>
  <si>
    <t xml:space="preserve">78 items</t>
  </si>
  <si>
    <t xml:space="preserve">Phase 2 — Growth (6 months)</t>
  </si>
  <si>
    <t xml:space="preserve">10 items</t>
  </si>
  <si>
    <t xml:space="preserve">Phase 3 — Year 2 Wish List</t>
  </si>
  <si>
    <t xml:space="preserve">7 items</t>
  </si>
  <si>
    <t xml:space="preserve">INVESTMENT BY CATEGORY</t>
  </si>
  <si>
    <t xml:space="preserve">Items</t>
  </si>
  <si>
    <t xml:space="preserve">Est. Total (CAD)</t>
  </si>
  <si>
    <t xml:space="preserve">% of Budget</t>
  </si>
  <si>
    <t xml:space="preserve">SOURCE SPLIT</t>
  </si>
  <si>
    <t xml:space="preserve">Uline.ca sourced</t>
  </si>
  <si>
    <t xml:space="preserve">Specialist / other suppliers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</si>
</sst>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F9E6B"/>
      <name val="Arial"/>
      <family val="0"/>
      <charset val="1"/>
    </font>
    <font>
      <b val="true"/>
      <sz val="9"/>
      <color rgb="FFD4820A"/>
      <name val="Arial"/>
      <family val="0"/>
      <charset val="1"/>
    </font>
    <font>
      <b val="true"/>
      <sz val="9"/>
      <color rgb="FFA0306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9E6B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D4820A"/>
      <name val="Arial"/>
      <family val="0"/>
      <charset val="1"/>
    </font>
    <font>
      <b val="true"/>
      <sz val="10"/>
      <color rgb="FFA030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D9E75"/>
        <bgColor rgb="FF0F9E6B"/>
      </patternFill>
    </fill>
    <fill>
      <patternFill patternType="solid">
        <fgColor rgb="FFF0FAF6"/>
        <bgColor rgb="FFF5FAF8"/>
      </patternFill>
    </fill>
    <fill>
      <patternFill patternType="solid">
        <fgColor rgb="FF0F6E56"/>
        <bgColor rgb="FF0A5C40"/>
      </patternFill>
    </fill>
    <fill>
      <patternFill patternType="solid">
        <fgColor rgb="FFE8F8F2"/>
        <bgColor rgb="FFF0FAF6"/>
      </patternFill>
    </fill>
    <fill>
      <patternFill patternType="solid">
        <fgColor rgb="FFFFF8E8"/>
        <bgColor rgb="FFF5FAF8"/>
      </patternFill>
    </fill>
    <fill>
      <patternFill patternType="solid">
        <fgColor rgb="FFF8EBF0"/>
        <bgColor rgb="FFFFF8E8"/>
      </patternFill>
    </fill>
    <fill>
      <patternFill patternType="solid">
        <fgColor rgb="FF0F9E6B"/>
        <bgColor rgb="FF1D9E75"/>
      </patternFill>
    </fill>
    <fill>
      <patternFill patternType="solid">
        <fgColor rgb="FFD4820A"/>
        <bgColor rgb="FFFF6600"/>
      </patternFill>
    </fill>
    <fill>
      <patternFill patternType="solid">
        <fgColor rgb="FFA03060"/>
        <bgColor rgb="FF993366"/>
      </patternFill>
    </fill>
    <fill>
      <patternFill patternType="solid">
        <fgColor rgb="FFF5FAF8"/>
        <bgColor rgb="FFF0FAF6"/>
      </patternFill>
    </fill>
    <fill>
      <patternFill patternType="solid">
        <fgColor rgb="FFFFFFFF"/>
        <bgColor rgb="FFF5F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A5C40"/>
      </left>
      <right style="thin">
        <color rgb="FF0A5C40"/>
      </right>
      <top style="thin">
        <color rgb="FF0A5C40"/>
      </top>
      <bottom style="thin">
        <color rgb="FF0A5C4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88888"/>
      <rgbColor rgb="FF9999FF"/>
      <rgbColor rgb="FFA03060"/>
      <rgbColor rgb="FFFFF8E8"/>
      <rgbColor rgb="FFE8F8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F9E6B"/>
      <rgbColor rgb="FF0000FF"/>
      <rgbColor rgb="FF00CCFF"/>
      <rgbColor rgb="FFF0FAF6"/>
      <rgbColor rgb="FFF5FAF8"/>
      <rgbColor rgb="FFF8EB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0A5C40"/>
      <rgbColor rgb="FF1D9E75"/>
      <rgbColor rgb="FF003300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1.5" hidden="false" customHeight="true" outlineLevel="0" collapsed="false">
      <c r="A5" s="5" t="n">
        <v>1</v>
      </c>
      <c r="B5" s="6" t="s">
        <v>13</v>
      </c>
      <c r="C5" s="6" t="s">
        <v>14</v>
      </c>
      <c r="D5" s="6" t="s">
        <v>15</v>
      </c>
      <c r="E5" s="6" t="s">
        <v>16</v>
      </c>
      <c r="F5" s="7" t="n">
        <v>4</v>
      </c>
      <c r="G5" s="8" t="n">
        <v>285</v>
      </c>
      <c r="H5" s="8" t="n">
        <f aca="false">F5*G5</f>
        <v>1140</v>
      </c>
      <c r="I5" s="9" t="s">
        <v>17</v>
      </c>
      <c r="J5" s="6" t="s">
        <v>18</v>
      </c>
      <c r="K5" s="6" t="s">
        <v>19</v>
      </c>
    </row>
    <row r="6" customFormat="false" ht="31.5" hidden="false" customHeight="true" outlineLevel="0" collapsed="false">
      <c r="A6" s="5" t="n">
        <v>2</v>
      </c>
      <c r="B6" s="6" t="s">
        <v>20</v>
      </c>
      <c r="C6" s="6" t="s">
        <v>14</v>
      </c>
      <c r="D6" s="6" t="s">
        <v>21</v>
      </c>
      <c r="E6" s="6" t="s">
        <v>22</v>
      </c>
      <c r="F6" s="7" t="n">
        <v>2</v>
      </c>
      <c r="G6" s="8" t="n">
        <v>520</v>
      </c>
      <c r="H6" s="8" t="n">
        <f aca="false">F6*G6</f>
        <v>1040</v>
      </c>
      <c r="I6" s="9" t="s">
        <v>17</v>
      </c>
      <c r="J6" s="6" t="s">
        <v>18</v>
      </c>
      <c r="K6" s="6" t="s">
        <v>23</v>
      </c>
    </row>
    <row r="7" customFormat="false" ht="31.5" hidden="false" customHeight="true" outlineLevel="0" collapsed="false">
      <c r="A7" s="5" t="n">
        <v>3</v>
      </c>
      <c r="B7" s="6" t="s">
        <v>24</v>
      </c>
      <c r="C7" s="6" t="s">
        <v>14</v>
      </c>
      <c r="D7" s="6" t="s">
        <v>25</v>
      </c>
      <c r="E7" s="6" t="s">
        <v>26</v>
      </c>
      <c r="F7" s="7" t="n">
        <v>1</v>
      </c>
      <c r="G7" s="8" t="n">
        <v>1280</v>
      </c>
      <c r="H7" s="8" t="n">
        <f aca="false">F7*G7</f>
        <v>1280</v>
      </c>
      <c r="I7" s="9" t="s">
        <v>17</v>
      </c>
      <c r="J7" s="6" t="s">
        <v>18</v>
      </c>
      <c r="K7" s="6" t="s">
        <v>27</v>
      </c>
    </row>
    <row r="8" customFormat="false" ht="31.5" hidden="false" customHeight="true" outlineLevel="0" collapsed="false">
      <c r="A8" s="5" t="n">
        <v>4</v>
      </c>
      <c r="B8" s="6" t="s">
        <v>28</v>
      </c>
      <c r="C8" s="6" t="s">
        <v>14</v>
      </c>
      <c r="D8" s="6" t="s">
        <v>29</v>
      </c>
      <c r="E8" s="6" t="s">
        <v>30</v>
      </c>
      <c r="F8" s="7" t="n">
        <v>2</v>
      </c>
      <c r="G8" s="8" t="n">
        <v>235</v>
      </c>
      <c r="H8" s="8" t="n">
        <f aca="false">F8*G8</f>
        <v>470</v>
      </c>
      <c r="I8" s="9" t="s">
        <v>17</v>
      </c>
      <c r="J8" s="6" t="s">
        <v>18</v>
      </c>
      <c r="K8" s="6" t="s">
        <v>31</v>
      </c>
    </row>
    <row r="9" customFormat="false" ht="31.5" hidden="false" customHeight="true" outlineLevel="0" collapsed="false">
      <c r="A9" s="5" t="n">
        <v>5</v>
      </c>
      <c r="B9" s="6" t="s">
        <v>32</v>
      </c>
      <c r="C9" s="6" t="s">
        <v>14</v>
      </c>
      <c r="D9" s="6" t="s">
        <v>33</v>
      </c>
      <c r="E9" s="6" t="s">
        <v>34</v>
      </c>
      <c r="F9" s="7" t="n">
        <v>2</v>
      </c>
      <c r="G9" s="8" t="n">
        <v>198</v>
      </c>
      <c r="H9" s="8" t="n">
        <f aca="false">F9*G9</f>
        <v>396</v>
      </c>
      <c r="I9" s="9" t="s">
        <v>17</v>
      </c>
      <c r="J9" s="6" t="s">
        <v>18</v>
      </c>
      <c r="K9" s="6" t="s">
        <v>35</v>
      </c>
    </row>
    <row r="10" customFormat="false" ht="31.5" hidden="false" customHeight="true" outlineLevel="0" collapsed="false">
      <c r="A10" s="5" t="n">
        <v>6</v>
      </c>
      <c r="B10" s="6" t="s">
        <v>36</v>
      </c>
      <c r="C10" s="6" t="s">
        <v>14</v>
      </c>
      <c r="D10" s="6" t="s">
        <v>37</v>
      </c>
      <c r="E10" s="6" t="s">
        <v>38</v>
      </c>
      <c r="F10" s="7" t="n">
        <v>2</v>
      </c>
      <c r="G10" s="8" t="n">
        <v>745</v>
      </c>
      <c r="H10" s="8" t="n">
        <f aca="false">F10*G10</f>
        <v>1490</v>
      </c>
      <c r="I10" s="9" t="s">
        <v>17</v>
      </c>
      <c r="J10" s="6" t="s">
        <v>18</v>
      </c>
      <c r="K10" s="6" t="s">
        <v>39</v>
      </c>
    </row>
    <row r="11" customFormat="false" ht="31.5" hidden="false" customHeight="true" outlineLevel="0" collapsed="false">
      <c r="A11" s="5" t="n">
        <v>7</v>
      </c>
      <c r="B11" s="6" t="s">
        <v>40</v>
      </c>
      <c r="C11" s="6" t="s">
        <v>14</v>
      </c>
      <c r="D11" s="6" t="s">
        <v>41</v>
      </c>
      <c r="E11" s="6" t="s">
        <v>42</v>
      </c>
      <c r="F11" s="7" t="n">
        <v>3</v>
      </c>
      <c r="G11" s="8" t="n">
        <v>68</v>
      </c>
      <c r="H11" s="8" t="n">
        <f aca="false">F11*G11</f>
        <v>204</v>
      </c>
      <c r="I11" s="9" t="s">
        <v>17</v>
      </c>
      <c r="J11" s="6" t="s">
        <v>18</v>
      </c>
      <c r="K11" s="6" t="s">
        <v>43</v>
      </c>
    </row>
    <row r="12" customFormat="false" ht="31.5" hidden="false" customHeight="true" outlineLevel="0" collapsed="false">
      <c r="A12" s="5" t="n">
        <v>8</v>
      </c>
      <c r="B12" s="6" t="s">
        <v>44</v>
      </c>
      <c r="C12" s="6" t="s">
        <v>14</v>
      </c>
      <c r="D12" s="6" t="s">
        <v>45</v>
      </c>
      <c r="E12" s="6" t="s">
        <v>46</v>
      </c>
      <c r="F12" s="7" t="n">
        <v>4</v>
      </c>
      <c r="G12" s="8" t="n">
        <v>112</v>
      </c>
      <c r="H12" s="8" t="n">
        <f aca="false">F12*G12</f>
        <v>448</v>
      </c>
      <c r="I12" s="9" t="s">
        <v>17</v>
      </c>
      <c r="J12" s="6" t="s">
        <v>18</v>
      </c>
      <c r="K12" s="6" t="s">
        <v>47</v>
      </c>
    </row>
    <row r="13" customFormat="false" ht="31.5" hidden="false" customHeight="true" outlineLevel="0" collapsed="false">
      <c r="A13" s="5" t="n">
        <v>9</v>
      </c>
      <c r="B13" s="6" t="s">
        <v>48</v>
      </c>
      <c r="C13" s="6" t="s">
        <v>14</v>
      </c>
      <c r="D13" s="6" t="s">
        <v>49</v>
      </c>
      <c r="E13" s="6" t="s">
        <v>50</v>
      </c>
      <c r="F13" s="7" t="n">
        <v>6</v>
      </c>
      <c r="G13" s="8" t="n">
        <v>148</v>
      </c>
      <c r="H13" s="8" t="n">
        <f aca="false">F13*G13</f>
        <v>888</v>
      </c>
      <c r="I13" s="9" t="s">
        <v>17</v>
      </c>
      <c r="J13" s="6" t="s">
        <v>18</v>
      </c>
      <c r="K13" s="6" t="s">
        <v>51</v>
      </c>
    </row>
    <row r="14" customFormat="false" ht="31.5" hidden="false" customHeight="true" outlineLevel="0" collapsed="false">
      <c r="A14" s="5" t="n">
        <v>10</v>
      </c>
      <c r="B14" s="6" t="s">
        <v>52</v>
      </c>
      <c r="C14" s="6" t="s">
        <v>14</v>
      </c>
      <c r="D14" s="6" t="s">
        <v>53</v>
      </c>
      <c r="E14" s="6" t="s">
        <v>54</v>
      </c>
      <c r="F14" s="7" t="n">
        <v>16</v>
      </c>
      <c r="G14" s="8" t="n">
        <v>58</v>
      </c>
      <c r="H14" s="8" t="n">
        <f aca="false">F14*G14</f>
        <v>928</v>
      </c>
      <c r="I14" s="9" t="s">
        <v>17</v>
      </c>
      <c r="J14" s="6" t="s">
        <v>18</v>
      </c>
      <c r="K14" s="6" t="s">
        <v>55</v>
      </c>
    </row>
    <row r="15" customFormat="false" ht="31.5" hidden="false" customHeight="true" outlineLevel="0" collapsed="false">
      <c r="A15" s="5" t="n">
        <v>11</v>
      </c>
      <c r="B15" s="6" t="s">
        <v>56</v>
      </c>
      <c r="C15" s="6" t="s">
        <v>14</v>
      </c>
      <c r="D15" s="6" t="s">
        <v>57</v>
      </c>
      <c r="E15" s="6" t="s">
        <v>58</v>
      </c>
      <c r="F15" s="7" t="n">
        <v>1</v>
      </c>
      <c r="G15" s="8" t="n">
        <v>145</v>
      </c>
      <c r="H15" s="8" t="n">
        <f aca="false">F15*G15</f>
        <v>145</v>
      </c>
      <c r="I15" s="9" t="s">
        <v>17</v>
      </c>
      <c r="J15" s="6" t="s">
        <v>18</v>
      </c>
      <c r="K15" s="6" t="s">
        <v>59</v>
      </c>
    </row>
    <row r="16" customFormat="false" ht="31.5" hidden="false" customHeight="true" outlineLevel="0" collapsed="false">
      <c r="A16" s="5" t="n">
        <v>12</v>
      </c>
      <c r="B16" s="6" t="s">
        <v>60</v>
      </c>
      <c r="C16" s="6" t="s">
        <v>14</v>
      </c>
      <c r="D16" s="6" t="s">
        <v>61</v>
      </c>
      <c r="E16" s="6" t="s">
        <v>62</v>
      </c>
      <c r="F16" s="7" t="n">
        <v>2</v>
      </c>
      <c r="G16" s="8" t="n">
        <v>89</v>
      </c>
      <c r="H16" s="8" t="n">
        <f aca="false">F16*G16</f>
        <v>178</v>
      </c>
      <c r="I16" s="9" t="s">
        <v>17</v>
      </c>
      <c r="J16" s="6" t="s">
        <v>18</v>
      </c>
      <c r="K16" s="6"/>
    </row>
    <row r="17" customFormat="false" ht="31.5" hidden="false" customHeight="true" outlineLevel="0" collapsed="false">
      <c r="A17" s="5" t="n">
        <v>13</v>
      </c>
      <c r="B17" s="6" t="s">
        <v>63</v>
      </c>
      <c r="C17" s="6" t="s">
        <v>14</v>
      </c>
      <c r="D17" s="6" t="s">
        <v>64</v>
      </c>
      <c r="E17" s="6" t="s">
        <v>65</v>
      </c>
      <c r="F17" s="7" t="n">
        <v>1</v>
      </c>
      <c r="G17" s="8" t="n">
        <v>28</v>
      </c>
      <c r="H17" s="8" t="n">
        <f aca="false">F17*G17</f>
        <v>28</v>
      </c>
      <c r="I17" s="9" t="s">
        <v>17</v>
      </c>
      <c r="J17" s="6" t="s">
        <v>18</v>
      </c>
      <c r="K17" s="6" t="s">
        <v>66</v>
      </c>
    </row>
    <row r="18" customFormat="false" ht="31.5" hidden="false" customHeight="true" outlineLevel="0" collapsed="false">
      <c r="A18" s="5" t="n">
        <v>14</v>
      </c>
      <c r="B18" s="6" t="s">
        <v>67</v>
      </c>
      <c r="C18" s="6" t="s">
        <v>14</v>
      </c>
      <c r="D18" s="6" t="s">
        <v>68</v>
      </c>
      <c r="E18" s="6" t="s">
        <v>69</v>
      </c>
      <c r="F18" s="7" t="n">
        <v>2</v>
      </c>
      <c r="G18" s="8" t="n">
        <v>165</v>
      </c>
      <c r="H18" s="8" t="n">
        <f aca="false">F18*G18</f>
        <v>330</v>
      </c>
      <c r="I18" s="9" t="s">
        <v>17</v>
      </c>
      <c r="J18" s="6" t="s">
        <v>18</v>
      </c>
      <c r="K18" s="6" t="s">
        <v>70</v>
      </c>
    </row>
    <row r="19" customFormat="false" ht="31.5" hidden="false" customHeight="true" outlineLevel="0" collapsed="false">
      <c r="A19" s="5" t="n">
        <v>15</v>
      </c>
      <c r="B19" s="6" t="s">
        <v>71</v>
      </c>
      <c r="C19" s="6" t="s">
        <v>72</v>
      </c>
      <c r="D19" s="6" t="s">
        <v>73</v>
      </c>
      <c r="E19" s="6" t="s">
        <v>69</v>
      </c>
      <c r="F19" s="7" t="n">
        <v>1</v>
      </c>
      <c r="G19" s="8" t="n">
        <v>3800</v>
      </c>
      <c r="H19" s="8" t="n">
        <f aca="false">F19*G19</f>
        <v>3800</v>
      </c>
      <c r="I19" s="9" t="s">
        <v>17</v>
      </c>
      <c r="J19" s="6" t="s">
        <v>74</v>
      </c>
      <c r="K19" s="6" t="s">
        <v>75</v>
      </c>
    </row>
    <row r="20" customFormat="false" ht="31.5" hidden="false" customHeight="true" outlineLevel="0" collapsed="false">
      <c r="A20" s="5" t="n">
        <v>16</v>
      </c>
      <c r="B20" s="6" t="s">
        <v>76</v>
      </c>
      <c r="C20" s="6" t="s">
        <v>72</v>
      </c>
      <c r="D20" s="6" t="s">
        <v>77</v>
      </c>
      <c r="E20" s="6" t="s">
        <v>69</v>
      </c>
      <c r="F20" s="7" t="n">
        <v>2</v>
      </c>
      <c r="G20" s="8" t="n">
        <v>420</v>
      </c>
      <c r="H20" s="8" t="n">
        <f aca="false">F20*G20</f>
        <v>840</v>
      </c>
      <c r="I20" s="9" t="s">
        <v>17</v>
      </c>
      <c r="J20" s="6" t="s">
        <v>74</v>
      </c>
      <c r="K20" s="6"/>
    </row>
    <row r="21" customFormat="false" ht="31.5" hidden="false" customHeight="true" outlineLevel="0" collapsed="false">
      <c r="A21" s="5" t="n">
        <v>17</v>
      </c>
      <c r="B21" s="6" t="s">
        <v>78</v>
      </c>
      <c r="C21" s="6" t="s">
        <v>72</v>
      </c>
      <c r="D21" s="6" t="s">
        <v>79</v>
      </c>
      <c r="E21" s="6" t="s">
        <v>69</v>
      </c>
      <c r="F21" s="7" t="n">
        <v>1</v>
      </c>
      <c r="G21" s="8" t="n">
        <v>380</v>
      </c>
      <c r="H21" s="8" t="n">
        <f aca="false">F21*G21</f>
        <v>380</v>
      </c>
      <c r="I21" s="9" t="s">
        <v>17</v>
      </c>
      <c r="J21" s="6" t="s">
        <v>74</v>
      </c>
      <c r="K21" s="6"/>
    </row>
    <row r="22" customFormat="false" ht="31.5" hidden="false" customHeight="true" outlineLevel="0" collapsed="false">
      <c r="A22" s="5" t="n">
        <v>18</v>
      </c>
      <c r="B22" s="6" t="s">
        <v>80</v>
      </c>
      <c r="C22" s="6" t="s">
        <v>72</v>
      </c>
      <c r="D22" s="6" t="s">
        <v>81</v>
      </c>
      <c r="E22" s="6" t="s">
        <v>69</v>
      </c>
      <c r="F22" s="7" t="n">
        <v>1</v>
      </c>
      <c r="G22" s="8" t="n">
        <v>610</v>
      </c>
      <c r="H22" s="8" t="n">
        <f aca="false">F22*G22</f>
        <v>610</v>
      </c>
      <c r="I22" s="9" t="s">
        <v>17</v>
      </c>
      <c r="J22" s="6" t="s">
        <v>74</v>
      </c>
      <c r="K22" s="6"/>
    </row>
    <row r="23" customFormat="false" ht="31.5" hidden="false" customHeight="true" outlineLevel="0" collapsed="false">
      <c r="A23" s="5" t="n">
        <v>19</v>
      </c>
      <c r="B23" s="6" t="s">
        <v>82</v>
      </c>
      <c r="C23" s="6" t="s">
        <v>72</v>
      </c>
      <c r="D23" s="6" t="s">
        <v>83</v>
      </c>
      <c r="E23" s="6" t="s">
        <v>69</v>
      </c>
      <c r="F23" s="7" t="n">
        <v>4</v>
      </c>
      <c r="G23" s="8" t="n">
        <v>185</v>
      </c>
      <c r="H23" s="8" t="n">
        <f aca="false">F23*G23</f>
        <v>740</v>
      </c>
      <c r="I23" s="9" t="s">
        <v>17</v>
      </c>
      <c r="J23" s="6" t="s">
        <v>74</v>
      </c>
      <c r="K23" s="6" t="s">
        <v>84</v>
      </c>
    </row>
    <row r="24" customFormat="false" ht="31.5" hidden="false" customHeight="true" outlineLevel="0" collapsed="false">
      <c r="A24" s="5" t="n">
        <v>20</v>
      </c>
      <c r="B24" s="6" t="s">
        <v>85</v>
      </c>
      <c r="C24" s="6" t="s">
        <v>72</v>
      </c>
      <c r="D24" s="6" t="s">
        <v>86</v>
      </c>
      <c r="E24" s="6" t="s">
        <v>69</v>
      </c>
      <c r="F24" s="7" t="n">
        <v>3</v>
      </c>
      <c r="G24" s="8" t="n">
        <v>92</v>
      </c>
      <c r="H24" s="8" t="n">
        <f aca="false">F24*G24</f>
        <v>276</v>
      </c>
      <c r="I24" s="9" t="s">
        <v>17</v>
      </c>
      <c r="J24" s="6" t="s">
        <v>87</v>
      </c>
      <c r="K24" s="6"/>
    </row>
    <row r="25" customFormat="false" ht="31.5" hidden="false" customHeight="true" outlineLevel="0" collapsed="false">
      <c r="A25" s="5" t="n">
        <v>21</v>
      </c>
      <c r="B25" s="6" t="s">
        <v>88</v>
      </c>
      <c r="C25" s="6" t="s">
        <v>72</v>
      </c>
      <c r="D25" s="6" t="s">
        <v>89</v>
      </c>
      <c r="E25" s="6" t="s">
        <v>69</v>
      </c>
      <c r="F25" s="7" t="n">
        <v>1</v>
      </c>
      <c r="G25" s="8" t="n">
        <v>320</v>
      </c>
      <c r="H25" s="8" t="n">
        <f aca="false">F25*G25</f>
        <v>320</v>
      </c>
      <c r="I25" s="9" t="s">
        <v>17</v>
      </c>
      <c r="J25" s="6" t="s">
        <v>74</v>
      </c>
      <c r="K25" s="6" t="s">
        <v>90</v>
      </c>
    </row>
    <row r="26" customFormat="false" ht="31.5" hidden="false" customHeight="true" outlineLevel="0" collapsed="false">
      <c r="A26" s="5" t="n">
        <v>22</v>
      </c>
      <c r="B26" s="6" t="s">
        <v>91</v>
      </c>
      <c r="C26" s="6" t="s">
        <v>72</v>
      </c>
      <c r="D26" s="6" t="s">
        <v>92</v>
      </c>
      <c r="E26" s="6" t="s">
        <v>69</v>
      </c>
      <c r="F26" s="7" t="n">
        <v>3</v>
      </c>
      <c r="G26" s="8" t="n">
        <v>95</v>
      </c>
      <c r="H26" s="8" t="n">
        <f aca="false">F26*G26</f>
        <v>285</v>
      </c>
      <c r="I26" s="9" t="s">
        <v>17</v>
      </c>
      <c r="J26" s="6" t="s">
        <v>74</v>
      </c>
      <c r="K26" s="6" t="s">
        <v>93</v>
      </c>
    </row>
    <row r="27" customFormat="false" ht="31.5" hidden="false" customHeight="true" outlineLevel="0" collapsed="false">
      <c r="A27" s="5" t="n">
        <v>23</v>
      </c>
      <c r="B27" s="6" t="s">
        <v>94</v>
      </c>
      <c r="C27" s="6" t="s">
        <v>72</v>
      </c>
      <c r="D27" s="6" t="s">
        <v>95</v>
      </c>
      <c r="E27" s="6" t="s">
        <v>69</v>
      </c>
      <c r="F27" s="7" t="n">
        <v>8</v>
      </c>
      <c r="G27" s="8" t="n">
        <v>28</v>
      </c>
      <c r="H27" s="8" t="n">
        <f aca="false">F27*G27</f>
        <v>224</v>
      </c>
      <c r="I27" s="9" t="s">
        <v>17</v>
      </c>
      <c r="J27" s="6" t="s">
        <v>87</v>
      </c>
      <c r="K27" s="6"/>
    </row>
    <row r="28" customFormat="false" ht="31.5" hidden="false" customHeight="true" outlineLevel="0" collapsed="false">
      <c r="A28" s="5" t="n">
        <v>24</v>
      </c>
      <c r="B28" s="6" t="s">
        <v>96</v>
      </c>
      <c r="C28" s="6" t="s">
        <v>72</v>
      </c>
      <c r="D28" s="6" t="s">
        <v>97</v>
      </c>
      <c r="E28" s="6" t="s">
        <v>98</v>
      </c>
      <c r="F28" s="7" t="n">
        <v>1</v>
      </c>
      <c r="G28" s="8" t="n">
        <v>48</v>
      </c>
      <c r="H28" s="8" t="n">
        <f aca="false">F28*G28</f>
        <v>48</v>
      </c>
      <c r="I28" s="9" t="s">
        <v>17</v>
      </c>
      <c r="J28" s="6" t="s">
        <v>18</v>
      </c>
      <c r="K28" s="6"/>
    </row>
    <row r="29" customFormat="false" ht="31.5" hidden="false" customHeight="true" outlineLevel="0" collapsed="false">
      <c r="A29" s="5" t="n">
        <v>25</v>
      </c>
      <c r="B29" s="6" t="s">
        <v>99</v>
      </c>
      <c r="C29" s="6" t="s">
        <v>72</v>
      </c>
      <c r="D29" s="6" t="s">
        <v>100</v>
      </c>
      <c r="E29" s="6" t="s">
        <v>101</v>
      </c>
      <c r="F29" s="7" t="n">
        <v>4</v>
      </c>
      <c r="G29" s="8" t="n">
        <v>78</v>
      </c>
      <c r="H29" s="8" t="n">
        <f aca="false">F29*G29</f>
        <v>312</v>
      </c>
      <c r="I29" s="9" t="s">
        <v>17</v>
      </c>
      <c r="J29" s="6" t="s">
        <v>18</v>
      </c>
      <c r="K29" s="6" t="s">
        <v>102</v>
      </c>
    </row>
    <row r="30" customFormat="false" ht="31.5" hidden="false" customHeight="true" outlineLevel="0" collapsed="false">
      <c r="A30" s="5" t="n">
        <v>26</v>
      </c>
      <c r="B30" s="6" t="s">
        <v>103</v>
      </c>
      <c r="C30" s="6" t="s">
        <v>72</v>
      </c>
      <c r="D30" s="6" t="s">
        <v>104</v>
      </c>
      <c r="E30" s="6" t="s">
        <v>69</v>
      </c>
      <c r="F30" s="7" t="n">
        <v>6</v>
      </c>
      <c r="G30" s="8" t="n">
        <v>52</v>
      </c>
      <c r="H30" s="8" t="n">
        <f aca="false">F30*G30</f>
        <v>312</v>
      </c>
      <c r="I30" s="9" t="s">
        <v>17</v>
      </c>
      <c r="J30" s="6" t="s">
        <v>105</v>
      </c>
      <c r="K30" s="6"/>
    </row>
    <row r="31" customFormat="false" ht="31.5" hidden="false" customHeight="true" outlineLevel="0" collapsed="false">
      <c r="A31" s="5" t="n">
        <v>27</v>
      </c>
      <c r="B31" s="6" t="s">
        <v>106</v>
      </c>
      <c r="C31" s="6" t="s">
        <v>72</v>
      </c>
      <c r="D31" s="6" t="s">
        <v>107</v>
      </c>
      <c r="E31" s="6" t="s">
        <v>108</v>
      </c>
      <c r="F31" s="7" t="n">
        <v>1</v>
      </c>
      <c r="G31" s="8" t="n">
        <v>198</v>
      </c>
      <c r="H31" s="8" t="n">
        <f aca="false">F31*G31</f>
        <v>198</v>
      </c>
      <c r="I31" s="9" t="s">
        <v>17</v>
      </c>
      <c r="J31" s="6" t="s">
        <v>18</v>
      </c>
      <c r="K31" s="6" t="s">
        <v>109</v>
      </c>
    </row>
    <row r="32" customFormat="false" ht="31.5" hidden="false" customHeight="true" outlineLevel="0" collapsed="false">
      <c r="A32" s="5" t="n">
        <v>28</v>
      </c>
      <c r="B32" s="6" t="s">
        <v>110</v>
      </c>
      <c r="C32" s="6" t="s">
        <v>72</v>
      </c>
      <c r="D32" s="6" t="s">
        <v>111</v>
      </c>
      <c r="E32" s="6" t="s">
        <v>69</v>
      </c>
      <c r="F32" s="7" t="n">
        <v>1</v>
      </c>
      <c r="G32" s="8" t="n">
        <v>85</v>
      </c>
      <c r="H32" s="8" t="n">
        <f aca="false">F32*G32</f>
        <v>85</v>
      </c>
      <c r="I32" s="9" t="s">
        <v>17</v>
      </c>
      <c r="J32" s="6" t="s">
        <v>112</v>
      </c>
      <c r="K32" s="6"/>
    </row>
    <row r="33" customFormat="false" ht="31.5" hidden="false" customHeight="true" outlineLevel="0" collapsed="false">
      <c r="A33" s="5" t="n">
        <v>29</v>
      </c>
      <c r="B33" s="6" t="s">
        <v>113</v>
      </c>
      <c r="C33" s="6" t="s">
        <v>114</v>
      </c>
      <c r="D33" s="6" t="s">
        <v>115</v>
      </c>
      <c r="E33" s="6" t="s">
        <v>69</v>
      </c>
      <c r="F33" s="7" t="n">
        <v>1</v>
      </c>
      <c r="G33" s="8" t="n">
        <v>420</v>
      </c>
      <c r="H33" s="8" t="n">
        <f aca="false">F33*G33</f>
        <v>420</v>
      </c>
      <c r="I33" s="9" t="s">
        <v>17</v>
      </c>
      <c r="J33" s="6" t="s">
        <v>116</v>
      </c>
      <c r="K33" s="6" t="s">
        <v>117</v>
      </c>
    </row>
    <row r="34" customFormat="false" ht="31.5" hidden="false" customHeight="true" outlineLevel="0" collapsed="false">
      <c r="A34" s="5" t="n">
        <v>30</v>
      </c>
      <c r="B34" s="6" t="s">
        <v>118</v>
      </c>
      <c r="C34" s="6" t="s">
        <v>114</v>
      </c>
      <c r="D34" s="6" t="s">
        <v>119</v>
      </c>
      <c r="E34" s="6" t="s">
        <v>120</v>
      </c>
      <c r="F34" s="7" t="n">
        <v>6</v>
      </c>
      <c r="G34" s="8" t="n">
        <v>38</v>
      </c>
      <c r="H34" s="8" t="n">
        <f aca="false">F34*G34</f>
        <v>228</v>
      </c>
      <c r="I34" s="9" t="s">
        <v>17</v>
      </c>
      <c r="J34" s="6" t="s">
        <v>18</v>
      </c>
      <c r="K34" s="6" t="s">
        <v>121</v>
      </c>
    </row>
    <row r="35" customFormat="false" ht="31.5" hidden="false" customHeight="true" outlineLevel="0" collapsed="false">
      <c r="A35" s="5" t="n">
        <v>31</v>
      </c>
      <c r="B35" s="6" t="s">
        <v>122</v>
      </c>
      <c r="C35" s="6" t="s">
        <v>114</v>
      </c>
      <c r="D35" s="6" t="s">
        <v>123</v>
      </c>
      <c r="E35" s="6" t="s">
        <v>69</v>
      </c>
      <c r="F35" s="7" t="n">
        <v>1</v>
      </c>
      <c r="G35" s="8" t="n">
        <v>895</v>
      </c>
      <c r="H35" s="8" t="n">
        <f aca="false">F35*G35</f>
        <v>895</v>
      </c>
      <c r="I35" s="9" t="s">
        <v>17</v>
      </c>
      <c r="J35" s="6" t="s">
        <v>18</v>
      </c>
      <c r="K35" s="6" t="s">
        <v>124</v>
      </c>
    </row>
    <row r="36" customFormat="false" ht="31.5" hidden="false" customHeight="true" outlineLevel="0" collapsed="false">
      <c r="A36" s="5" t="n">
        <v>32</v>
      </c>
      <c r="B36" s="6" t="s">
        <v>125</v>
      </c>
      <c r="C36" s="6" t="s">
        <v>114</v>
      </c>
      <c r="D36" s="6" t="s">
        <v>126</v>
      </c>
      <c r="E36" s="6" t="s">
        <v>127</v>
      </c>
      <c r="F36" s="7" t="n">
        <v>1</v>
      </c>
      <c r="G36" s="8" t="n">
        <v>785</v>
      </c>
      <c r="H36" s="8" t="n">
        <f aca="false">F36*G36</f>
        <v>785</v>
      </c>
      <c r="I36" s="9" t="s">
        <v>17</v>
      </c>
      <c r="J36" s="6" t="s">
        <v>18</v>
      </c>
      <c r="K36" s="6" t="s">
        <v>128</v>
      </c>
    </row>
    <row r="37" customFormat="false" ht="31.5" hidden="false" customHeight="true" outlineLevel="0" collapsed="false">
      <c r="A37" s="5" t="n">
        <v>33</v>
      </c>
      <c r="B37" s="6" t="s">
        <v>129</v>
      </c>
      <c r="C37" s="6" t="s">
        <v>114</v>
      </c>
      <c r="D37" s="6" t="s">
        <v>130</v>
      </c>
      <c r="E37" s="6" t="s">
        <v>69</v>
      </c>
      <c r="F37" s="7" t="n">
        <v>2</v>
      </c>
      <c r="G37" s="8" t="n">
        <v>48</v>
      </c>
      <c r="H37" s="8" t="n">
        <f aca="false">F37*G37</f>
        <v>96</v>
      </c>
      <c r="I37" s="9" t="s">
        <v>17</v>
      </c>
      <c r="J37" s="6" t="s">
        <v>74</v>
      </c>
      <c r="K37" s="6" t="s">
        <v>131</v>
      </c>
    </row>
    <row r="38" customFormat="false" ht="31.5" hidden="false" customHeight="true" outlineLevel="0" collapsed="false">
      <c r="A38" s="5" t="n">
        <v>34</v>
      </c>
      <c r="B38" s="6" t="s">
        <v>132</v>
      </c>
      <c r="C38" s="6" t="s">
        <v>114</v>
      </c>
      <c r="D38" s="6" t="s">
        <v>133</v>
      </c>
      <c r="E38" s="6" t="s">
        <v>69</v>
      </c>
      <c r="F38" s="7" t="n">
        <v>4</v>
      </c>
      <c r="G38" s="8" t="n">
        <v>55</v>
      </c>
      <c r="H38" s="8" t="n">
        <f aca="false">F38*G38</f>
        <v>220</v>
      </c>
      <c r="I38" s="9" t="s">
        <v>17</v>
      </c>
      <c r="J38" s="6" t="s">
        <v>74</v>
      </c>
      <c r="K38" s="6" t="s">
        <v>134</v>
      </c>
    </row>
    <row r="39" customFormat="false" ht="31.5" hidden="false" customHeight="true" outlineLevel="0" collapsed="false">
      <c r="A39" s="5" t="n">
        <v>35</v>
      </c>
      <c r="B39" s="6" t="s">
        <v>135</v>
      </c>
      <c r="C39" s="6" t="s">
        <v>114</v>
      </c>
      <c r="D39" s="6" t="s">
        <v>136</v>
      </c>
      <c r="E39" s="6" t="s">
        <v>69</v>
      </c>
      <c r="F39" s="7" t="n">
        <v>2</v>
      </c>
      <c r="G39" s="8" t="n">
        <v>650</v>
      </c>
      <c r="H39" s="8" t="n">
        <f aca="false">F39*G39</f>
        <v>1300</v>
      </c>
      <c r="I39" s="9" t="s">
        <v>17</v>
      </c>
      <c r="J39" s="6" t="s">
        <v>137</v>
      </c>
      <c r="K39" s="6" t="s">
        <v>138</v>
      </c>
    </row>
    <row r="40" customFormat="false" ht="31.5" hidden="false" customHeight="true" outlineLevel="0" collapsed="false">
      <c r="A40" s="5" t="n">
        <v>36</v>
      </c>
      <c r="B40" s="6" t="s">
        <v>139</v>
      </c>
      <c r="C40" s="6" t="s">
        <v>114</v>
      </c>
      <c r="D40" s="6" t="s">
        <v>140</v>
      </c>
      <c r="E40" s="6" t="s">
        <v>69</v>
      </c>
      <c r="F40" s="7" t="n">
        <v>3</v>
      </c>
      <c r="G40" s="8" t="n">
        <v>95</v>
      </c>
      <c r="H40" s="8" t="n">
        <f aca="false">F40*G40</f>
        <v>285</v>
      </c>
      <c r="I40" s="9" t="s">
        <v>17</v>
      </c>
      <c r="J40" s="6" t="s">
        <v>74</v>
      </c>
      <c r="K40" s="6"/>
    </row>
    <row r="41" customFormat="false" ht="31.5" hidden="false" customHeight="true" outlineLevel="0" collapsed="false">
      <c r="A41" s="5" t="n">
        <v>37</v>
      </c>
      <c r="B41" s="6" t="s">
        <v>141</v>
      </c>
      <c r="C41" s="6" t="s">
        <v>114</v>
      </c>
      <c r="D41" s="6" t="s">
        <v>142</v>
      </c>
      <c r="E41" s="6" t="s">
        <v>69</v>
      </c>
      <c r="F41" s="7" t="n">
        <v>1</v>
      </c>
      <c r="G41" s="8" t="n">
        <v>185</v>
      </c>
      <c r="H41" s="8" t="n">
        <f aca="false">F41*G41</f>
        <v>185</v>
      </c>
      <c r="I41" s="9" t="s">
        <v>17</v>
      </c>
      <c r="J41" s="6" t="s">
        <v>143</v>
      </c>
      <c r="K41" s="6" t="s">
        <v>144</v>
      </c>
    </row>
    <row r="42" customFormat="false" ht="31.5" hidden="false" customHeight="true" outlineLevel="0" collapsed="false">
      <c r="A42" s="5" t="n">
        <v>38</v>
      </c>
      <c r="B42" s="6" t="s">
        <v>145</v>
      </c>
      <c r="C42" s="6" t="s">
        <v>114</v>
      </c>
      <c r="D42" s="6" t="s">
        <v>146</v>
      </c>
      <c r="E42" s="6" t="s">
        <v>69</v>
      </c>
      <c r="F42" s="7" t="n">
        <v>2</v>
      </c>
      <c r="G42" s="8" t="n">
        <v>95</v>
      </c>
      <c r="H42" s="8" t="n">
        <f aca="false">F42*G42</f>
        <v>190</v>
      </c>
      <c r="I42" s="9" t="s">
        <v>17</v>
      </c>
      <c r="J42" s="6" t="s">
        <v>74</v>
      </c>
      <c r="K42" s="6"/>
    </row>
    <row r="43" customFormat="false" ht="31.5" hidden="false" customHeight="true" outlineLevel="0" collapsed="false">
      <c r="A43" s="5" t="n">
        <v>39</v>
      </c>
      <c r="B43" s="6" t="s">
        <v>147</v>
      </c>
      <c r="C43" s="6" t="s">
        <v>114</v>
      </c>
      <c r="D43" s="6" t="s">
        <v>148</v>
      </c>
      <c r="E43" s="6" t="s">
        <v>69</v>
      </c>
      <c r="F43" s="7" t="n">
        <v>1</v>
      </c>
      <c r="G43" s="8" t="n">
        <v>165</v>
      </c>
      <c r="H43" s="8" t="n">
        <f aca="false">F43*G43</f>
        <v>165</v>
      </c>
      <c r="I43" s="9" t="s">
        <v>17</v>
      </c>
      <c r="J43" s="6" t="s">
        <v>74</v>
      </c>
      <c r="K43" s="6"/>
    </row>
    <row r="44" customFormat="false" ht="31.5" hidden="false" customHeight="true" outlineLevel="0" collapsed="false">
      <c r="A44" s="5" t="n">
        <v>40</v>
      </c>
      <c r="B44" s="6" t="s">
        <v>149</v>
      </c>
      <c r="C44" s="6" t="s">
        <v>114</v>
      </c>
      <c r="D44" s="6" t="s">
        <v>150</v>
      </c>
      <c r="E44" s="6" t="s">
        <v>151</v>
      </c>
      <c r="F44" s="7" t="n">
        <v>1</v>
      </c>
      <c r="G44" s="8" t="n">
        <v>65</v>
      </c>
      <c r="H44" s="8" t="n">
        <f aca="false">F44*G44</f>
        <v>65</v>
      </c>
      <c r="I44" s="9" t="s">
        <v>17</v>
      </c>
      <c r="J44" s="6" t="s">
        <v>18</v>
      </c>
      <c r="K44" s="6"/>
    </row>
    <row r="45" customFormat="false" ht="31.5" hidden="false" customHeight="true" outlineLevel="0" collapsed="false">
      <c r="A45" s="5" t="n">
        <v>41</v>
      </c>
      <c r="B45" s="6" t="s">
        <v>152</v>
      </c>
      <c r="C45" s="6" t="s">
        <v>114</v>
      </c>
      <c r="D45" s="6" t="s">
        <v>153</v>
      </c>
      <c r="E45" s="6" t="s">
        <v>69</v>
      </c>
      <c r="F45" s="7" t="n">
        <v>2</v>
      </c>
      <c r="G45" s="8" t="n">
        <v>42</v>
      </c>
      <c r="H45" s="8" t="n">
        <f aca="false">F45*G45</f>
        <v>84</v>
      </c>
      <c r="I45" s="9" t="s">
        <v>17</v>
      </c>
      <c r="J45" s="6" t="s">
        <v>74</v>
      </c>
      <c r="K45" s="6"/>
    </row>
    <row r="46" customFormat="false" ht="31.5" hidden="false" customHeight="true" outlineLevel="0" collapsed="false">
      <c r="A46" s="5" t="n">
        <v>42</v>
      </c>
      <c r="B46" s="6" t="s">
        <v>154</v>
      </c>
      <c r="C46" s="6" t="s">
        <v>114</v>
      </c>
      <c r="D46" s="6" t="s">
        <v>155</v>
      </c>
      <c r="E46" s="6" t="s">
        <v>156</v>
      </c>
      <c r="F46" s="7" t="n">
        <v>2</v>
      </c>
      <c r="G46" s="8" t="n">
        <v>34</v>
      </c>
      <c r="H46" s="8" t="n">
        <f aca="false">F46*G46</f>
        <v>68</v>
      </c>
      <c r="I46" s="9" t="s">
        <v>17</v>
      </c>
      <c r="J46" s="6" t="s">
        <v>18</v>
      </c>
      <c r="K46" s="6"/>
    </row>
    <row r="47" customFormat="false" ht="31.5" hidden="false" customHeight="true" outlineLevel="0" collapsed="false">
      <c r="A47" s="5" t="n">
        <v>43</v>
      </c>
      <c r="B47" s="6" t="s">
        <v>157</v>
      </c>
      <c r="C47" s="6" t="s">
        <v>114</v>
      </c>
      <c r="D47" s="6" t="s">
        <v>158</v>
      </c>
      <c r="E47" s="6" t="s">
        <v>159</v>
      </c>
      <c r="F47" s="7" t="n">
        <v>1</v>
      </c>
      <c r="G47" s="8" t="n">
        <v>145</v>
      </c>
      <c r="H47" s="8" t="n">
        <f aca="false">F47*G47</f>
        <v>145</v>
      </c>
      <c r="I47" s="9" t="s">
        <v>17</v>
      </c>
      <c r="J47" s="6" t="s">
        <v>18</v>
      </c>
      <c r="K47" s="6" t="s">
        <v>160</v>
      </c>
    </row>
    <row r="48" customFormat="false" ht="31.5" hidden="false" customHeight="true" outlineLevel="0" collapsed="false">
      <c r="A48" s="5" t="n">
        <v>44</v>
      </c>
      <c r="B48" s="6" t="s">
        <v>161</v>
      </c>
      <c r="C48" s="6" t="s">
        <v>114</v>
      </c>
      <c r="D48" s="6" t="s">
        <v>162</v>
      </c>
      <c r="E48" s="6" t="s">
        <v>163</v>
      </c>
      <c r="F48" s="7" t="n">
        <v>1</v>
      </c>
      <c r="G48" s="8" t="n">
        <v>78</v>
      </c>
      <c r="H48" s="8" t="n">
        <f aca="false">F48*G48</f>
        <v>78</v>
      </c>
      <c r="I48" s="9" t="s">
        <v>17</v>
      </c>
      <c r="J48" s="6" t="s">
        <v>18</v>
      </c>
      <c r="K48" s="6"/>
    </row>
    <row r="49" customFormat="false" ht="31.5" hidden="false" customHeight="true" outlineLevel="0" collapsed="false">
      <c r="A49" s="5" t="n">
        <v>45</v>
      </c>
      <c r="B49" s="6" t="s">
        <v>164</v>
      </c>
      <c r="C49" s="6" t="s">
        <v>165</v>
      </c>
      <c r="D49" s="6" t="s">
        <v>166</v>
      </c>
      <c r="E49" s="6" t="s">
        <v>69</v>
      </c>
      <c r="F49" s="7" t="n">
        <v>1</v>
      </c>
      <c r="G49" s="8" t="n">
        <v>1850</v>
      </c>
      <c r="H49" s="8" t="n">
        <f aca="false">F49*G49</f>
        <v>1850</v>
      </c>
      <c r="I49" s="9" t="s">
        <v>17</v>
      </c>
      <c r="J49" s="6" t="s">
        <v>74</v>
      </c>
      <c r="K49" s="6" t="s">
        <v>167</v>
      </c>
    </row>
    <row r="50" customFormat="false" ht="31.5" hidden="false" customHeight="true" outlineLevel="0" collapsed="false">
      <c r="A50" s="5" t="n">
        <v>46</v>
      </c>
      <c r="B50" s="6" t="s">
        <v>168</v>
      </c>
      <c r="C50" s="6" t="s">
        <v>165</v>
      </c>
      <c r="D50" s="6" t="s">
        <v>169</v>
      </c>
      <c r="E50" s="6" t="s">
        <v>69</v>
      </c>
      <c r="F50" s="7" t="n">
        <v>1</v>
      </c>
      <c r="G50" s="8" t="n">
        <v>1250</v>
      </c>
      <c r="H50" s="8" t="n">
        <f aca="false">F50*G50</f>
        <v>1250</v>
      </c>
      <c r="I50" s="9" t="s">
        <v>17</v>
      </c>
      <c r="J50" s="6" t="s">
        <v>170</v>
      </c>
      <c r="K50" s="6" t="s">
        <v>171</v>
      </c>
    </row>
    <row r="51" customFormat="false" ht="31.5" hidden="false" customHeight="true" outlineLevel="0" collapsed="false">
      <c r="A51" s="5" t="n">
        <v>47</v>
      </c>
      <c r="B51" s="6" t="s">
        <v>172</v>
      </c>
      <c r="C51" s="6" t="s">
        <v>165</v>
      </c>
      <c r="D51" s="6" t="s">
        <v>173</v>
      </c>
      <c r="E51" s="6" t="s">
        <v>69</v>
      </c>
      <c r="F51" s="7" t="n">
        <v>8</v>
      </c>
      <c r="G51" s="8" t="n">
        <v>235</v>
      </c>
      <c r="H51" s="8" t="n">
        <f aca="false">F51*G51</f>
        <v>1880</v>
      </c>
      <c r="I51" s="9" t="s">
        <v>17</v>
      </c>
      <c r="J51" s="6" t="s">
        <v>170</v>
      </c>
      <c r="K51" s="6" t="s">
        <v>174</v>
      </c>
    </row>
    <row r="52" customFormat="false" ht="31.5" hidden="false" customHeight="true" outlineLevel="0" collapsed="false">
      <c r="A52" s="5" t="n">
        <v>48</v>
      </c>
      <c r="B52" s="6" t="s">
        <v>175</v>
      </c>
      <c r="C52" s="6" t="s">
        <v>165</v>
      </c>
      <c r="D52" s="6" t="s">
        <v>176</v>
      </c>
      <c r="E52" s="6" t="s">
        <v>69</v>
      </c>
      <c r="F52" s="7" t="n">
        <v>2</v>
      </c>
      <c r="G52" s="8" t="n">
        <v>285</v>
      </c>
      <c r="H52" s="8" t="n">
        <f aca="false">F52*G52</f>
        <v>570</v>
      </c>
      <c r="I52" s="9" t="s">
        <v>17</v>
      </c>
      <c r="J52" s="6" t="s">
        <v>177</v>
      </c>
      <c r="K52" s="6" t="s">
        <v>178</v>
      </c>
    </row>
    <row r="53" customFormat="false" ht="31.5" hidden="false" customHeight="true" outlineLevel="0" collapsed="false">
      <c r="A53" s="5" t="n">
        <v>49</v>
      </c>
      <c r="B53" s="6" t="s">
        <v>179</v>
      </c>
      <c r="C53" s="6" t="s">
        <v>165</v>
      </c>
      <c r="D53" s="6" t="s">
        <v>180</v>
      </c>
      <c r="E53" s="6" t="s">
        <v>69</v>
      </c>
      <c r="F53" s="7" t="n">
        <v>1</v>
      </c>
      <c r="G53" s="8" t="n">
        <v>285</v>
      </c>
      <c r="H53" s="8" t="n">
        <f aca="false">F53*G53</f>
        <v>285</v>
      </c>
      <c r="I53" s="9" t="s">
        <v>17</v>
      </c>
      <c r="J53" s="6" t="s">
        <v>74</v>
      </c>
      <c r="K53" s="6"/>
    </row>
    <row r="54" customFormat="false" ht="31.5" hidden="false" customHeight="true" outlineLevel="0" collapsed="false">
      <c r="A54" s="5" t="n">
        <v>50</v>
      </c>
      <c r="B54" s="6" t="s">
        <v>181</v>
      </c>
      <c r="C54" s="6" t="s">
        <v>165</v>
      </c>
      <c r="D54" s="6" t="s">
        <v>182</v>
      </c>
      <c r="E54" s="6" t="s">
        <v>69</v>
      </c>
      <c r="F54" s="7" t="n">
        <v>1</v>
      </c>
      <c r="G54" s="8" t="n">
        <v>220</v>
      </c>
      <c r="H54" s="8" t="n">
        <f aca="false">F54*G54</f>
        <v>220</v>
      </c>
      <c r="I54" s="9" t="s">
        <v>17</v>
      </c>
      <c r="J54" s="6" t="s">
        <v>74</v>
      </c>
      <c r="K54" s="6"/>
    </row>
    <row r="55" customFormat="false" ht="31.5" hidden="false" customHeight="true" outlineLevel="0" collapsed="false">
      <c r="A55" s="5" t="n">
        <v>51</v>
      </c>
      <c r="B55" s="6" t="s">
        <v>183</v>
      </c>
      <c r="C55" s="6" t="s">
        <v>165</v>
      </c>
      <c r="D55" s="6" t="s">
        <v>184</v>
      </c>
      <c r="E55" s="6" t="s">
        <v>69</v>
      </c>
      <c r="F55" s="7" t="n">
        <v>3</v>
      </c>
      <c r="G55" s="8" t="n">
        <v>85</v>
      </c>
      <c r="H55" s="8" t="n">
        <f aca="false">F55*G55</f>
        <v>255</v>
      </c>
      <c r="I55" s="9" t="s">
        <v>17</v>
      </c>
      <c r="J55" s="6" t="s">
        <v>74</v>
      </c>
      <c r="K55" s="6" t="s">
        <v>185</v>
      </c>
    </row>
    <row r="56" customFormat="false" ht="31.5" hidden="false" customHeight="true" outlineLevel="0" collapsed="false">
      <c r="A56" s="5" t="n">
        <v>52</v>
      </c>
      <c r="B56" s="6" t="s">
        <v>186</v>
      </c>
      <c r="C56" s="6" t="s">
        <v>165</v>
      </c>
      <c r="D56" s="6" t="s">
        <v>187</v>
      </c>
      <c r="E56" s="6" t="s">
        <v>188</v>
      </c>
      <c r="F56" s="7" t="n">
        <v>4</v>
      </c>
      <c r="G56" s="8" t="n">
        <v>38</v>
      </c>
      <c r="H56" s="8" t="n">
        <f aca="false">F56*G56</f>
        <v>152</v>
      </c>
      <c r="I56" s="9" t="s">
        <v>17</v>
      </c>
      <c r="J56" s="6" t="s">
        <v>18</v>
      </c>
      <c r="K56" s="6" t="s">
        <v>189</v>
      </c>
    </row>
    <row r="57" customFormat="false" ht="31.5" hidden="false" customHeight="true" outlineLevel="0" collapsed="false">
      <c r="A57" s="5" t="n">
        <v>53</v>
      </c>
      <c r="B57" s="6" t="s">
        <v>190</v>
      </c>
      <c r="C57" s="6" t="s">
        <v>165</v>
      </c>
      <c r="D57" s="6" t="s">
        <v>191</v>
      </c>
      <c r="E57" s="6" t="s">
        <v>69</v>
      </c>
      <c r="F57" s="7" t="n">
        <v>1</v>
      </c>
      <c r="G57" s="8" t="n">
        <v>165</v>
      </c>
      <c r="H57" s="8" t="n">
        <f aca="false">F57*G57</f>
        <v>165</v>
      </c>
      <c r="I57" s="9" t="s">
        <v>17</v>
      </c>
      <c r="J57" s="6" t="s">
        <v>192</v>
      </c>
      <c r="K57" s="6"/>
    </row>
    <row r="58" customFormat="false" ht="31.5" hidden="false" customHeight="true" outlineLevel="0" collapsed="false">
      <c r="A58" s="5" t="n">
        <v>54</v>
      </c>
      <c r="B58" s="6" t="s">
        <v>193</v>
      </c>
      <c r="C58" s="6" t="s">
        <v>194</v>
      </c>
      <c r="D58" s="6" t="s">
        <v>195</v>
      </c>
      <c r="E58" s="6" t="s">
        <v>196</v>
      </c>
      <c r="F58" s="7" t="n">
        <v>1</v>
      </c>
      <c r="G58" s="8" t="n">
        <v>320</v>
      </c>
      <c r="H58" s="8" t="n">
        <f aca="false">F58*G58</f>
        <v>320</v>
      </c>
      <c r="I58" s="9" t="s">
        <v>17</v>
      </c>
      <c r="J58" s="6" t="s">
        <v>18</v>
      </c>
      <c r="K58" s="6"/>
    </row>
    <row r="59" customFormat="false" ht="31.5" hidden="false" customHeight="true" outlineLevel="0" collapsed="false">
      <c r="A59" s="5" t="n">
        <v>55</v>
      </c>
      <c r="B59" s="6" t="s">
        <v>197</v>
      </c>
      <c r="C59" s="6" t="s">
        <v>194</v>
      </c>
      <c r="D59" s="6" t="s">
        <v>198</v>
      </c>
      <c r="E59" s="6" t="s">
        <v>69</v>
      </c>
      <c r="F59" s="7" t="n">
        <v>1</v>
      </c>
      <c r="G59" s="8" t="n">
        <v>145</v>
      </c>
      <c r="H59" s="8" t="n">
        <f aca="false">F59*G59</f>
        <v>145</v>
      </c>
      <c r="I59" s="9" t="s">
        <v>17</v>
      </c>
      <c r="J59" s="6" t="s">
        <v>199</v>
      </c>
      <c r="K59" s="6" t="s">
        <v>200</v>
      </c>
    </row>
    <row r="60" customFormat="false" ht="31.5" hidden="false" customHeight="true" outlineLevel="0" collapsed="false">
      <c r="A60" s="10" t="n">
        <v>56</v>
      </c>
      <c r="B60" s="11" t="s">
        <v>201</v>
      </c>
      <c r="C60" s="11" t="s">
        <v>194</v>
      </c>
      <c r="D60" s="11" t="s">
        <v>202</v>
      </c>
      <c r="E60" s="11" t="s">
        <v>69</v>
      </c>
      <c r="F60" s="12" t="n">
        <v>1</v>
      </c>
      <c r="G60" s="13" t="n">
        <v>380</v>
      </c>
      <c r="H60" s="13" t="n">
        <f aca="false">F60*G60</f>
        <v>380</v>
      </c>
      <c r="I60" s="14" t="s">
        <v>203</v>
      </c>
      <c r="J60" s="11" t="s">
        <v>74</v>
      </c>
      <c r="K60" s="11"/>
    </row>
    <row r="61" customFormat="false" ht="31.5" hidden="false" customHeight="true" outlineLevel="0" collapsed="false">
      <c r="A61" s="5" t="n">
        <v>57</v>
      </c>
      <c r="B61" s="6" t="s">
        <v>204</v>
      </c>
      <c r="C61" s="6" t="s">
        <v>194</v>
      </c>
      <c r="D61" s="6" t="s">
        <v>205</v>
      </c>
      <c r="E61" s="6" t="s">
        <v>69</v>
      </c>
      <c r="F61" s="7" t="n">
        <v>2</v>
      </c>
      <c r="G61" s="8" t="n">
        <v>225</v>
      </c>
      <c r="H61" s="8" t="n">
        <f aca="false">F61*G61</f>
        <v>450</v>
      </c>
      <c r="I61" s="9" t="s">
        <v>17</v>
      </c>
      <c r="J61" s="6" t="s">
        <v>87</v>
      </c>
      <c r="K61" s="6" t="s">
        <v>206</v>
      </c>
    </row>
    <row r="62" customFormat="false" ht="31.5" hidden="false" customHeight="true" outlineLevel="0" collapsed="false">
      <c r="A62" s="5" t="n">
        <v>58</v>
      </c>
      <c r="B62" s="6" t="s">
        <v>207</v>
      </c>
      <c r="C62" s="6" t="s">
        <v>194</v>
      </c>
      <c r="D62" s="6" t="s">
        <v>208</v>
      </c>
      <c r="E62" s="6" t="s">
        <v>69</v>
      </c>
      <c r="F62" s="7" t="n">
        <v>2</v>
      </c>
      <c r="G62" s="8" t="n">
        <v>42</v>
      </c>
      <c r="H62" s="8" t="n">
        <f aca="false">F62*G62</f>
        <v>84</v>
      </c>
      <c r="I62" s="9" t="s">
        <v>17</v>
      </c>
      <c r="J62" s="6" t="s">
        <v>209</v>
      </c>
      <c r="K62" s="6"/>
    </row>
    <row r="63" customFormat="false" ht="31.5" hidden="false" customHeight="true" outlineLevel="0" collapsed="false">
      <c r="A63" s="10" t="n">
        <v>59</v>
      </c>
      <c r="B63" s="11" t="s">
        <v>210</v>
      </c>
      <c r="C63" s="11" t="s">
        <v>194</v>
      </c>
      <c r="D63" s="11" t="s">
        <v>211</v>
      </c>
      <c r="E63" s="11" t="s">
        <v>212</v>
      </c>
      <c r="F63" s="12" t="n">
        <v>1</v>
      </c>
      <c r="G63" s="13" t="n">
        <v>895</v>
      </c>
      <c r="H63" s="13" t="n">
        <f aca="false">F63*G63</f>
        <v>895</v>
      </c>
      <c r="I63" s="14" t="s">
        <v>203</v>
      </c>
      <c r="J63" s="11" t="s">
        <v>18</v>
      </c>
      <c r="K63" s="11" t="s">
        <v>213</v>
      </c>
    </row>
    <row r="64" customFormat="false" ht="31.5" hidden="false" customHeight="true" outlineLevel="0" collapsed="false">
      <c r="A64" s="5" t="n">
        <v>60</v>
      </c>
      <c r="B64" s="6" t="s">
        <v>214</v>
      </c>
      <c r="C64" s="6" t="s">
        <v>194</v>
      </c>
      <c r="D64" s="6" t="s">
        <v>215</v>
      </c>
      <c r="E64" s="6" t="s">
        <v>216</v>
      </c>
      <c r="F64" s="7" t="n">
        <v>1</v>
      </c>
      <c r="G64" s="8" t="n">
        <v>145</v>
      </c>
      <c r="H64" s="8" t="n">
        <f aca="false">F64*G64</f>
        <v>145</v>
      </c>
      <c r="I64" s="9" t="s">
        <v>17</v>
      </c>
      <c r="J64" s="6" t="s">
        <v>18</v>
      </c>
      <c r="K64" s="6" t="s">
        <v>160</v>
      </c>
    </row>
    <row r="65" customFormat="false" ht="31.5" hidden="false" customHeight="true" outlineLevel="0" collapsed="false">
      <c r="A65" s="5" t="n">
        <v>61</v>
      </c>
      <c r="B65" s="6" t="s">
        <v>217</v>
      </c>
      <c r="C65" s="6" t="s">
        <v>194</v>
      </c>
      <c r="D65" s="6" t="s">
        <v>218</v>
      </c>
      <c r="E65" s="6" t="s">
        <v>69</v>
      </c>
      <c r="F65" s="7" t="n">
        <v>3</v>
      </c>
      <c r="G65" s="8" t="n">
        <v>85</v>
      </c>
      <c r="H65" s="8" t="n">
        <f aca="false">F65*G65</f>
        <v>255</v>
      </c>
      <c r="I65" s="9" t="s">
        <v>17</v>
      </c>
      <c r="J65" s="6" t="s">
        <v>219</v>
      </c>
      <c r="K65" s="6" t="s">
        <v>220</v>
      </c>
    </row>
    <row r="66" customFormat="false" ht="31.5" hidden="false" customHeight="true" outlineLevel="0" collapsed="false">
      <c r="A66" s="15" t="n">
        <v>62</v>
      </c>
      <c r="B66" s="16" t="s">
        <v>221</v>
      </c>
      <c r="C66" s="16" t="s">
        <v>194</v>
      </c>
      <c r="D66" s="16" t="s">
        <v>222</v>
      </c>
      <c r="E66" s="16" t="s">
        <v>69</v>
      </c>
      <c r="F66" s="17" t="n">
        <v>1</v>
      </c>
      <c r="G66" s="18" t="n">
        <v>1850</v>
      </c>
      <c r="H66" s="18" t="n">
        <f aca="false">F66*G66</f>
        <v>1850</v>
      </c>
      <c r="I66" s="19" t="s">
        <v>223</v>
      </c>
      <c r="J66" s="16" t="s">
        <v>87</v>
      </c>
      <c r="K66" s="16" t="s">
        <v>224</v>
      </c>
    </row>
    <row r="67" customFormat="false" ht="31.5" hidden="false" customHeight="true" outlineLevel="0" collapsed="false">
      <c r="A67" s="5" t="n">
        <v>63</v>
      </c>
      <c r="B67" s="6" t="s">
        <v>225</v>
      </c>
      <c r="C67" s="6" t="s">
        <v>226</v>
      </c>
      <c r="D67" s="6" t="s">
        <v>227</v>
      </c>
      <c r="E67" s="6" t="s">
        <v>69</v>
      </c>
      <c r="F67" s="7" t="n">
        <v>5</v>
      </c>
      <c r="G67" s="8" t="n">
        <v>145</v>
      </c>
      <c r="H67" s="8" t="n">
        <f aca="false">F67*G67</f>
        <v>725</v>
      </c>
      <c r="I67" s="9" t="s">
        <v>17</v>
      </c>
      <c r="J67" s="6" t="s">
        <v>228</v>
      </c>
      <c r="K67" s="6" t="s">
        <v>229</v>
      </c>
    </row>
    <row r="68" customFormat="false" ht="31.5" hidden="false" customHeight="true" outlineLevel="0" collapsed="false">
      <c r="A68" s="5" t="n">
        <v>64</v>
      </c>
      <c r="B68" s="6" t="s">
        <v>230</v>
      </c>
      <c r="C68" s="6" t="s">
        <v>226</v>
      </c>
      <c r="D68" s="6" t="s">
        <v>231</v>
      </c>
      <c r="E68" s="6" t="s">
        <v>69</v>
      </c>
      <c r="F68" s="7" t="n">
        <v>10</v>
      </c>
      <c r="G68" s="8" t="n">
        <v>28</v>
      </c>
      <c r="H68" s="8" t="n">
        <f aca="false">F68*G68</f>
        <v>280</v>
      </c>
      <c r="I68" s="9" t="s">
        <v>17</v>
      </c>
      <c r="J68" s="6" t="s">
        <v>74</v>
      </c>
      <c r="K68" s="6"/>
    </row>
    <row r="69" customFormat="false" ht="31.5" hidden="false" customHeight="true" outlineLevel="0" collapsed="false">
      <c r="A69" s="5" t="n">
        <v>65</v>
      </c>
      <c r="B69" s="6" t="s">
        <v>232</v>
      </c>
      <c r="C69" s="6" t="s">
        <v>226</v>
      </c>
      <c r="D69" s="6" t="s">
        <v>233</v>
      </c>
      <c r="E69" s="6" t="s">
        <v>69</v>
      </c>
      <c r="F69" s="7" t="n">
        <v>5</v>
      </c>
      <c r="G69" s="8" t="n">
        <v>32</v>
      </c>
      <c r="H69" s="8" t="n">
        <f aca="false">F69*G69</f>
        <v>160</v>
      </c>
      <c r="I69" s="9" t="s">
        <v>17</v>
      </c>
      <c r="J69" s="6" t="s">
        <v>74</v>
      </c>
      <c r="K69" s="6"/>
    </row>
    <row r="70" customFormat="false" ht="31.5" hidden="false" customHeight="true" outlineLevel="0" collapsed="false">
      <c r="A70" s="5" t="n">
        <v>66</v>
      </c>
      <c r="B70" s="6" t="s">
        <v>234</v>
      </c>
      <c r="C70" s="6" t="s">
        <v>226</v>
      </c>
      <c r="D70" s="6" t="s">
        <v>235</v>
      </c>
      <c r="E70" s="6" t="s">
        <v>236</v>
      </c>
      <c r="F70" s="7" t="n">
        <v>5</v>
      </c>
      <c r="G70" s="8" t="n">
        <v>55</v>
      </c>
      <c r="H70" s="8" t="n">
        <f aca="false">F70*G70</f>
        <v>275</v>
      </c>
      <c r="I70" s="9" t="s">
        <v>17</v>
      </c>
      <c r="J70" s="6" t="s">
        <v>18</v>
      </c>
      <c r="K70" s="6" t="s">
        <v>237</v>
      </c>
    </row>
    <row r="71" customFormat="false" ht="31.5" hidden="false" customHeight="true" outlineLevel="0" collapsed="false">
      <c r="A71" s="5" t="n">
        <v>67</v>
      </c>
      <c r="B71" s="6" t="s">
        <v>238</v>
      </c>
      <c r="C71" s="6" t="s">
        <v>226</v>
      </c>
      <c r="D71" s="6" t="s">
        <v>239</v>
      </c>
      <c r="E71" s="6" t="s">
        <v>240</v>
      </c>
      <c r="F71" s="7" t="n">
        <v>2</v>
      </c>
      <c r="G71" s="8" t="n">
        <v>465</v>
      </c>
      <c r="H71" s="8" t="n">
        <f aca="false">F71*G71</f>
        <v>930</v>
      </c>
      <c r="I71" s="9" t="s">
        <v>17</v>
      </c>
      <c r="J71" s="6" t="s">
        <v>18</v>
      </c>
      <c r="K71" s="6"/>
    </row>
    <row r="72" customFormat="false" ht="31.5" hidden="false" customHeight="true" outlineLevel="0" collapsed="false">
      <c r="A72" s="5" t="n">
        <v>68</v>
      </c>
      <c r="B72" s="6" t="s">
        <v>241</v>
      </c>
      <c r="C72" s="6" t="s">
        <v>226</v>
      </c>
      <c r="D72" s="6" t="s">
        <v>242</v>
      </c>
      <c r="E72" s="6" t="s">
        <v>69</v>
      </c>
      <c r="F72" s="7" t="n">
        <v>3</v>
      </c>
      <c r="G72" s="8" t="n">
        <v>35</v>
      </c>
      <c r="H72" s="8" t="n">
        <f aca="false">F72*G72</f>
        <v>105</v>
      </c>
      <c r="I72" s="9" t="s">
        <v>17</v>
      </c>
      <c r="J72" s="6" t="s">
        <v>228</v>
      </c>
      <c r="K72" s="6"/>
    </row>
    <row r="73" customFormat="false" ht="31.5" hidden="false" customHeight="true" outlineLevel="0" collapsed="false">
      <c r="A73" s="10" t="n">
        <v>69</v>
      </c>
      <c r="B73" s="11" t="s">
        <v>243</v>
      </c>
      <c r="C73" s="11" t="s">
        <v>226</v>
      </c>
      <c r="D73" s="11" t="s">
        <v>244</v>
      </c>
      <c r="E73" s="11" t="s">
        <v>69</v>
      </c>
      <c r="F73" s="12" t="n">
        <v>2</v>
      </c>
      <c r="G73" s="13" t="n">
        <v>145</v>
      </c>
      <c r="H73" s="13" t="n">
        <f aca="false">F73*G73</f>
        <v>290</v>
      </c>
      <c r="I73" s="14" t="s">
        <v>203</v>
      </c>
      <c r="J73" s="11" t="s">
        <v>87</v>
      </c>
      <c r="K73" s="11" t="s">
        <v>245</v>
      </c>
    </row>
    <row r="74" customFormat="false" ht="31.5" hidden="false" customHeight="true" outlineLevel="0" collapsed="false">
      <c r="A74" s="5" t="n">
        <v>70</v>
      </c>
      <c r="B74" s="6" t="s">
        <v>246</v>
      </c>
      <c r="C74" s="6" t="s">
        <v>247</v>
      </c>
      <c r="D74" s="6" t="s">
        <v>248</v>
      </c>
      <c r="E74" s="6" t="s">
        <v>249</v>
      </c>
      <c r="F74" s="7" t="n">
        <v>1</v>
      </c>
      <c r="G74" s="8" t="n">
        <v>485</v>
      </c>
      <c r="H74" s="8" t="n">
        <f aca="false">F74*G74</f>
        <v>485</v>
      </c>
      <c r="I74" s="9" t="s">
        <v>17</v>
      </c>
      <c r="J74" s="6" t="s">
        <v>18</v>
      </c>
      <c r="K74" s="6" t="s">
        <v>250</v>
      </c>
    </row>
    <row r="75" customFormat="false" ht="31.5" hidden="false" customHeight="true" outlineLevel="0" collapsed="false">
      <c r="A75" s="5" t="n">
        <v>71</v>
      </c>
      <c r="B75" s="6" t="s">
        <v>251</v>
      </c>
      <c r="C75" s="6" t="s">
        <v>247</v>
      </c>
      <c r="D75" s="6" t="s">
        <v>252</v>
      </c>
      <c r="E75" s="6" t="s">
        <v>253</v>
      </c>
      <c r="F75" s="7" t="n">
        <v>2</v>
      </c>
      <c r="G75" s="8" t="n">
        <v>32</v>
      </c>
      <c r="H75" s="8" t="n">
        <f aca="false">F75*G75</f>
        <v>64</v>
      </c>
      <c r="I75" s="9" t="s">
        <v>17</v>
      </c>
      <c r="J75" s="6" t="s">
        <v>18</v>
      </c>
      <c r="K75" s="6"/>
    </row>
    <row r="76" customFormat="false" ht="31.5" hidden="false" customHeight="true" outlineLevel="0" collapsed="false">
      <c r="A76" s="5" t="n">
        <v>72</v>
      </c>
      <c r="B76" s="6" t="s">
        <v>254</v>
      </c>
      <c r="C76" s="6" t="s">
        <v>247</v>
      </c>
      <c r="D76" s="6" t="s">
        <v>255</v>
      </c>
      <c r="E76" s="6" t="s">
        <v>256</v>
      </c>
      <c r="F76" s="7" t="n">
        <v>4</v>
      </c>
      <c r="G76" s="8" t="n">
        <v>48</v>
      </c>
      <c r="H76" s="8" t="n">
        <f aca="false">F76*G76</f>
        <v>192</v>
      </c>
      <c r="I76" s="9" t="s">
        <v>17</v>
      </c>
      <c r="J76" s="6" t="s">
        <v>18</v>
      </c>
      <c r="K76" s="6"/>
    </row>
    <row r="77" customFormat="false" ht="31.5" hidden="false" customHeight="true" outlineLevel="0" collapsed="false">
      <c r="A77" s="5" t="n">
        <v>73</v>
      </c>
      <c r="B77" s="6" t="s">
        <v>257</v>
      </c>
      <c r="C77" s="6" t="s">
        <v>247</v>
      </c>
      <c r="D77" s="6" t="s">
        <v>258</v>
      </c>
      <c r="E77" s="6" t="s">
        <v>69</v>
      </c>
      <c r="F77" s="7" t="n">
        <v>5</v>
      </c>
      <c r="G77" s="8" t="n">
        <v>55</v>
      </c>
      <c r="H77" s="8" t="n">
        <f aca="false">F77*G77</f>
        <v>275</v>
      </c>
      <c r="I77" s="9" t="s">
        <v>17</v>
      </c>
      <c r="J77" s="6" t="s">
        <v>177</v>
      </c>
      <c r="K77" s="6"/>
    </row>
    <row r="78" customFormat="false" ht="31.5" hidden="false" customHeight="true" outlineLevel="0" collapsed="false">
      <c r="A78" s="5" t="n">
        <v>74</v>
      </c>
      <c r="B78" s="6" t="s">
        <v>259</v>
      </c>
      <c r="C78" s="6" t="s">
        <v>247</v>
      </c>
      <c r="D78" s="6" t="s">
        <v>260</v>
      </c>
      <c r="E78" s="6" t="s">
        <v>261</v>
      </c>
      <c r="F78" s="7" t="n">
        <v>2</v>
      </c>
      <c r="G78" s="8" t="n">
        <v>78</v>
      </c>
      <c r="H78" s="8" t="n">
        <f aca="false">F78*G78</f>
        <v>156</v>
      </c>
      <c r="I78" s="9" t="s">
        <v>17</v>
      </c>
      <c r="J78" s="6" t="s">
        <v>18</v>
      </c>
      <c r="K78" s="6"/>
    </row>
    <row r="79" customFormat="false" ht="31.5" hidden="false" customHeight="true" outlineLevel="0" collapsed="false">
      <c r="A79" s="5" t="n">
        <v>75</v>
      </c>
      <c r="B79" s="6" t="s">
        <v>262</v>
      </c>
      <c r="C79" s="6" t="s">
        <v>247</v>
      </c>
      <c r="D79" s="6" t="s">
        <v>263</v>
      </c>
      <c r="E79" s="6" t="s">
        <v>264</v>
      </c>
      <c r="F79" s="7" t="n">
        <v>1</v>
      </c>
      <c r="G79" s="8" t="n">
        <v>195</v>
      </c>
      <c r="H79" s="8" t="n">
        <f aca="false">F79*G79</f>
        <v>195</v>
      </c>
      <c r="I79" s="9" t="s">
        <v>17</v>
      </c>
      <c r="J79" s="6" t="s">
        <v>18</v>
      </c>
      <c r="K79" s="6"/>
    </row>
    <row r="80" customFormat="false" ht="31.5" hidden="false" customHeight="true" outlineLevel="0" collapsed="false">
      <c r="A80" s="5" t="n">
        <v>76</v>
      </c>
      <c r="B80" s="6" t="s">
        <v>265</v>
      </c>
      <c r="C80" s="6" t="s">
        <v>266</v>
      </c>
      <c r="D80" s="6" t="s">
        <v>267</v>
      </c>
      <c r="E80" s="6" t="s">
        <v>268</v>
      </c>
      <c r="F80" s="7" t="n">
        <v>2</v>
      </c>
      <c r="G80" s="8" t="n">
        <v>38</v>
      </c>
      <c r="H80" s="8" t="n">
        <f aca="false">F80*G80</f>
        <v>76</v>
      </c>
      <c r="I80" s="9" t="s">
        <v>17</v>
      </c>
      <c r="J80" s="6" t="s">
        <v>18</v>
      </c>
      <c r="K80" s="6"/>
    </row>
    <row r="81" customFormat="false" ht="31.5" hidden="false" customHeight="true" outlineLevel="0" collapsed="false">
      <c r="A81" s="5" t="n">
        <v>77</v>
      </c>
      <c r="B81" s="6" t="s">
        <v>269</v>
      </c>
      <c r="C81" s="6" t="s">
        <v>266</v>
      </c>
      <c r="D81" s="6" t="s">
        <v>270</v>
      </c>
      <c r="E81" s="6" t="s">
        <v>156</v>
      </c>
      <c r="F81" s="7" t="n">
        <v>4</v>
      </c>
      <c r="G81" s="8" t="n">
        <v>22</v>
      </c>
      <c r="H81" s="8" t="n">
        <f aca="false">F81*G81</f>
        <v>88</v>
      </c>
      <c r="I81" s="9" t="s">
        <v>17</v>
      </c>
      <c r="J81" s="6" t="s">
        <v>18</v>
      </c>
      <c r="K81" s="6"/>
    </row>
    <row r="82" customFormat="false" ht="31.5" hidden="false" customHeight="true" outlineLevel="0" collapsed="false">
      <c r="A82" s="5" t="n">
        <v>78</v>
      </c>
      <c r="B82" s="6" t="s">
        <v>271</v>
      </c>
      <c r="C82" s="6" t="s">
        <v>266</v>
      </c>
      <c r="D82" s="6" t="s">
        <v>272</v>
      </c>
      <c r="E82" s="6" t="s">
        <v>69</v>
      </c>
      <c r="F82" s="7" t="n">
        <v>2</v>
      </c>
      <c r="G82" s="8" t="n">
        <v>35</v>
      </c>
      <c r="H82" s="8" t="n">
        <f aca="false">F82*G82</f>
        <v>70</v>
      </c>
      <c r="I82" s="9" t="s">
        <v>17</v>
      </c>
      <c r="J82" s="6" t="s">
        <v>273</v>
      </c>
      <c r="K82" s="6"/>
    </row>
    <row r="83" customFormat="false" ht="31.5" hidden="false" customHeight="true" outlineLevel="0" collapsed="false">
      <c r="A83" s="5" t="n">
        <v>79</v>
      </c>
      <c r="B83" s="6" t="s">
        <v>274</v>
      </c>
      <c r="C83" s="6" t="s">
        <v>266</v>
      </c>
      <c r="D83" s="6" t="s">
        <v>275</v>
      </c>
      <c r="E83" s="6" t="s">
        <v>276</v>
      </c>
      <c r="F83" s="7" t="n">
        <v>1</v>
      </c>
      <c r="G83" s="8" t="n">
        <v>88</v>
      </c>
      <c r="H83" s="8" t="n">
        <f aca="false">F83*G83</f>
        <v>88</v>
      </c>
      <c r="I83" s="9" t="s">
        <v>17</v>
      </c>
      <c r="J83" s="6" t="s">
        <v>18</v>
      </c>
      <c r="K83" s="6"/>
    </row>
    <row r="84" customFormat="false" ht="31.5" hidden="false" customHeight="true" outlineLevel="0" collapsed="false">
      <c r="A84" s="5" t="n">
        <v>80</v>
      </c>
      <c r="B84" s="6" t="s">
        <v>277</v>
      </c>
      <c r="C84" s="6" t="s">
        <v>266</v>
      </c>
      <c r="D84" s="6" t="s">
        <v>278</v>
      </c>
      <c r="E84" s="6" t="s">
        <v>69</v>
      </c>
      <c r="F84" s="7" t="n">
        <v>1</v>
      </c>
      <c r="G84" s="8" t="n">
        <v>195</v>
      </c>
      <c r="H84" s="8" t="n">
        <f aca="false">F84*G84</f>
        <v>195</v>
      </c>
      <c r="I84" s="9" t="s">
        <v>17</v>
      </c>
      <c r="J84" s="6" t="s">
        <v>105</v>
      </c>
      <c r="K84" s="6"/>
    </row>
    <row r="85" customFormat="false" ht="31.5" hidden="false" customHeight="true" outlineLevel="0" collapsed="false">
      <c r="A85" s="5" t="n">
        <v>81</v>
      </c>
      <c r="B85" s="6" t="s">
        <v>279</v>
      </c>
      <c r="C85" s="6" t="s">
        <v>266</v>
      </c>
      <c r="D85" s="6" t="s">
        <v>280</v>
      </c>
      <c r="E85" s="6" t="s">
        <v>281</v>
      </c>
      <c r="F85" s="7" t="n">
        <v>2</v>
      </c>
      <c r="G85" s="8" t="n">
        <v>68</v>
      </c>
      <c r="H85" s="8" t="n">
        <f aca="false">F85*G85</f>
        <v>136</v>
      </c>
      <c r="I85" s="9" t="s">
        <v>17</v>
      </c>
      <c r="J85" s="6" t="s">
        <v>18</v>
      </c>
      <c r="K85" s="6"/>
    </row>
    <row r="86" customFormat="false" ht="31.5" hidden="false" customHeight="true" outlineLevel="0" collapsed="false">
      <c r="A86" s="5" t="n">
        <v>82</v>
      </c>
      <c r="B86" s="6" t="s">
        <v>282</v>
      </c>
      <c r="C86" s="6" t="s">
        <v>266</v>
      </c>
      <c r="D86" s="6" t="s">
        <v>283</v>
      </c>
      <c r="E86" s="6" t="s">
        <v>284</v>
      </c>
      <c r="F86" s="7" t="n">
        <v>2</v>
      </c>
      <c r="G86" s="8" t="n">
        <v>145</v>
      </c>
      <c r="H86" s="8" t="n">
        <f aca="false">F86*G86</f>
        <v>290</v>
      </c>
      <c r="I86" s="9" t="s">
        <v>17</v>
      </c>
      <c r="J86" s="6" t="s">
        <v>18</v>
      </c>
      <c r="K86" s="6"/>
    </row>
    <row r="87" customFormat="false" ht="31.5" hidden="false" customHeight="true" outlineLevel="0" collapsed="false">
      <c r="A87" s="10" t="n">
        <v>83</v>
      </c>
      <c r="B87" s="11" t="s">
        <v>285</v>
      </c>
      <c r="C87" s="11" t="s">
        <v>14</v>
      </c>
      <c r="D87" s="11" t="s">
        <v>286</v>
      </c>
      <c r="E87" s="11" t="s">
        <v>69</v>
      </c>
      <c r="F87" s="12" t="n">
        <v>1</v>
      </c>
      <c r="G87" s="13" t="n">
        <v>1800</v>
      </c>
      <c r="H87" s="13" t="n">
        <f aca="false">F87*G87</f>
        <v>1800</v>
      </c>
      <c r="I87" s="14" t="s">
        <v>203</v>
      </c>
      <c r="J87" s="11" t="s">
        <v>287</v>
      </c>
      <c r="K87" s="11" t="s">
        <v>288</v>
      </c>
    </row>
    <row r="88" customFormat="false" ht="31.5" hidden="false" customHeight="true" outlineLevel="0" collapsed="false">
      <c r="A88" s="10" t="n">
        <v>84</v>
      </c>
      <c r="B88" s="11" t="s">
        <v>289</v>
      </c>
      <c r="C88" s="11" t="s">
        <v>72</v>
      </c>
      <c r="D88" s="11" t="s">
        <v>290</v>
      </c>
      <c r="E88" s="11" t="s">
        <v>69</v>
      </c>
      <c r="F88" s="12" t="n">
        <v>1</v>
      </c>
      <c r="G88" s="13" t="n">
        <v>2200</v>
      </c>
      <c r="H88" s="13" t="n">
        <f aca="false">F88*G88</f>
        <v>2200</v>
      </c>
      <c r="I88" s="14" t="s">
        <v>203</v>
      </c>
      <c r="J88" s="11" t="s">
        <v>291</v>
      </c>
      <c r="K88" s="11" t="s">
        <v>292</v>
      </c>
    </row>
    <row r="89" customFormat="false" ht="31.5" hidden="false" customHeight="true" outlineLevel="0" collapsed="false">
      <c r="A89" s="10" t="n">
        <v>85</v>
      </c>
      <c r="B89" s="11" t="s">
        <v>293</v>
      </c>
      <c r="C89" s="11" t="s">
        <v>72</v>
      </c>
      <c r="D89" s="11" t="s">
        <v>294</v>
      </c>
      <c r="E89" s="11" t="s">
        <v>69</v>
      </c>
      <c r="F89" s="12" t="n">
        <v>2</v>
      </c>
      <c r="G89" s="13" t="n">
        <v>1100</v>
      </c>
      <c r="H89" s="13" t="n">
        <f aca="false">F89*G89</f>
        <v>2200</v>
      </c>
      <c r="I89" s="14" t="s">
        <v>203</v>
      </c>
      <c r="J89" s="11" t="s">
        <v>74</v>
      </c>
      <c r="K89" s="11" t="s">
        <v>295</v>
      </c>
    </row>
    <row r="90" customFormat="false" ht="31.5" hidden="false" customHeight="true" outlineLevel="0" collapsed="false">
      <c r="A90" s="10" t="n">
        <v>86</v>
      </c>
      <c r="B90" s="11" t="s">
        <v>296</v>
      </c>
      <c r="C90" s="11" t="s">
        <v>72</v>
      </c>
      <c r="D90" s="11" t="s">
        <v>297</v>
      </c>
      <c r="E90" s="11" t="s">
        <v>69</v>
      </c>
      <c r="F90" s="12" t="n">
        <v>1</v>
      </c>
      <c r="G90" s="13" t="n">
        <v>280</v>
      </c>
      <c r="H90" s="13" t="n">
        <f aca="false">F90*G90</f>
        <v>280</v>
      </c>
      <c r="I90" s="14" t="s">
        <v>203</v>
      </c>
      <c r="J90" s="11" t="s">
        <v>74</v>
      </c>
      <c r="K90" s="11"/>
    </row>
    <row r="91" customFormat="false" ht="31.5" hidden="false" customHeight="true" outlineLevel="0" collapsed="false">
      <c r="A91" s="10" t="n">
        <v>87</v>
      </c>
      <c r="B91" s="11" t="s">
        <v>298</v>
      </c>
      <c r="C91" s="11" t="s">
        <v>165</v>
      </c>
      <c r="D91" s="11" t="s">
        <v>299</v>
      </c>
      <c r="E91" s="11" t="s">
        <v>69</v>
      </c>
      <c r="F91" s="12" t="n">
        <v>1</v>
      </c>
      <c r="G91" s="13" t="n">
        <v>1450</v>
      </c>
      <c r="H91" s="13" t="n">
        <f aca="false">F91*G91</f>
        <v>1450</v>
      </c>
      <c r="I91" s="14" t="s">
        <v>203</v>
      </c>
      <c r="J91" s="11" t="s">
        <v>74</v>
      </c>
      <c r="K91" s="11" t="s">
        <v>300</v>
      </c>
    </row>
    <row r="92" customFormat="false" ht="31.5" hidden="false" customHeight="true" outlineLevel="0" collapsed="false">
      <c r="A92" s="10" t="n">
        <v>88</v>
      </c>
      <c r="B92" s="11" t="s">
        <v>301</v>
      </c>
      <c r="C92" s="11" t="s">
        <v>14</v>
      </c>
      <c r="D92" s="11" t="s">
        <v>302</v>
      </c>
      <c r="E92" s="11" t="s">
        <v>69</v>
      </c>
      <c r="F92" s="12" t="n">
        <v>1</v>
      </c>
      <c r="G92" s="13" t="n">
        <v>680</v>
      </c>
      <c r="H92" s="13" t="n">
        <f aca="false">F92*G92</f>
        <v>680</v>
      </c>
      <c r="I92" s="14" t="s">
        <v>203</v>
      </c>
      <c r="J92" s="11" t="s">
        <v>303</v>
      </c>
      <c r="K92" s="11" t="s">
        <v>304</v>
      </c>
    </row>
    <row r="93" customFormat="false" ht="31.5" hidden="false" customHeight="true" outlineLevel="0" collapsed="false">
      <c r="A93" s="10" t="n">
        <v>89</v>
      </c>
      <c r="B93" s="11" t="s">
        <v>305</v>
      </c>
      <c r="C93" s="11" t="s">
        <v>165</v>
      </c>
      <c r="D93" s="11" t="s">
        <v>306</v>
      </c>
      <c r="E93" s="11" t="s">
        <v>69</v>
      </c>
      <c r="F93" s="12" t="n">
        <v>2</v>
      </c>
      <c r="G93" s="13" t="n">
        <v>320</v>
      </c>
      <c r="H93" s="13" t="n">
        <f aca="false">F93*G93</f>
        <v>640</v>
      </c>
      <c r="I93" s="14" t="s">
        <v>203</v>
      </c>
      <c r="J93" s="11" t="s">
        <v>74</v>
      </c>
      <c r="K93" s="11" t="s">
        <v>307</v>
      </c>
    </row>
    <row r="94" customFormat="false" ht="31.5" hidden="false" customHeight="true" outlineLevel="0" collapsed="false">
      <c r="A94" s="15" t="n">
        <v>90</v>
      </c>
      <c r="B94" s="16" t="s">
        <v>308</v>
      </c>
      <c r="C94" s="16" t="s">
        <v>165</v>
      </c>
      <c r="D94" s="16" t="s">
        <v>309</v>
      </c>
      <c r="E94" s="16" t="s">
        <v>69</v>
      </c>
      <c r="F94" s="17" t="n">
        <v>1</v>
      </c>
      <c r="G94" s="18" t="n">
        <v>8500</v>
      </c>
      <c r="H94" s="18" t="n">
        <f aca="false">F94*G94</f>
        <v>8500</v>
      </c>
      <c r="I94" s="19" t="s">
        <v>223</v>
      </c>
      <c r="J94" s="16" t="s">
        <v>74</v>
      </c>
      <c r="K94" s="16" t="s">
        <v>310</v>
      </c>
    </row>
    <row r="95" customFormat="false" ht="31.5" hidden="false" customHeight="true" outlineLevel="0" collapsed="false">
      <c r="A95" s="15" t="n">
        <v>91</v>
      </c>
      <c r="B95" s="16" t="s">
        <v>311</v>
      </c>
      <c r="C95" s="16" t="s">
        <v>165</v>
      </c>
      <c r="D95" s="16" t="s">
        <v>312</v>
      </c>
      <c r="E95" s="16" t="s">
        <v>69</v>
      </c>
      <c r="F95" s="17" t="n">
        <v>1</v>
      </c>
      <c r="G95" s="18" t="n">
        <v>4500</v>
      </c>
      <c r="H95" s="18" t="n">
        <f aca="false">F95*G95</f>
        <v>4500</v>
      </c>
      <c r="I95" s="19" t="s">
        <v>223</v>
      </c>
      <c r="J95" s="16" t="s">
        <v>313</v>
      </c>
      <c r="K95" s="16" t="s">
        <v>314</v>
      </c>
    </row>
    <row r="96" customFormat="false" ht="31.5" hidden="false" customHeight="true" outlineLevel="0" collapsed="false">
      <c r="A96" s="15" t="n">
        <v>92</v>
      </c>
      <c r="B96" s="16" t="s">
        <v>315</v>
      </c>
      <c r="C96" s="16" t="s">
        <v>226</v>
      </c>
      <c r="D96" s="16" t="s">
        <v>316</v>
      </c>
      <c r="E96" s="16" t="s">
        <v>69</v>
      </c>
      <c r="F96" s="17" t="n">
        <v>1</v>
      </c>
      <c r="G96" s="18" t="n">
        <v>1800</v>
      </c>
      <c r="H96" s="18" t="n">
        <f aca="false">F96*G96</f>
        <v>1800</v>
      </c>
      <c r="I96" s="19" t="s">
        <v>223</v>
      </c>
      <c r="J96" s="16" t="s">
        <v>87</v>
      </c>
      <c r="K96" s="16" t="s">
        <v>317</v>
      </c>
    </row>
    <row r="97" customFormat="false" ht="31.5" hidden="false" customHeight="true" outlineLevel="0" collapsed="false">
      <c r="A97" s="15" t="n">
        <v>93</v>
      </c>
      <c r="B97" s="16" t="s">
        <v>318</v>
      </c>
      <c r="C97" s="16" t="s">
        <v>165</v>
      </c>
      <c r="D97" s="16" t="s">
        <v>319</v>
      </c>
      <c r="E97" s="16" t="s">
        <v>69</v>
      </c>
      <c r="F97" s="17" t="n">
        <v>1</v>
      </c>
      <c r="G97" s="18" t="n">
        <v>650</v>
      </c>
      <c r="H97" s="18" t="n">
        <f aca="false">F97*G97</f>
        <v>650</v>
      </c>
      <c r="I97" s="19" t="s">
        <v>223</v>
      </c>
      <c r="J97" s="16" t="s">
        <v>177</v>
      </c>
      <c r="K97" s="16"/>
    </row>
    <row r="98" customFormat="false" ht="31.5" hidden="false" customHeight="true" outlineLevel="0" collapsed="false">
      <c r="A98" s="15" t="n">
        <v>94</v>
      </c>
      <c r="B98" s="16" t="s">
        <v>320</v>
      </c>
      <c r="C98" s="16" t="s">
        <v>72</v>
      </c>
      <c r="D98" s="16" t="s">
        <v>321</v>
      </c>
      <c r="E98" s="16" t="s">
        <v>69</v>
      </c>
      <c r="F98" s="17" t="n">
        <v>1</v>
      </c>
      <c r="G98" s="18" t="n">
        <v>2800</v>
      </c>
      <c r="H98" s="18" t="n">
        <f aca="false">F98*G98</f>
        <v>2800</v>
      </c>
      <c r="I98" s="19" t="s">
        <v>223</v>
      </c>
      <c r="J98" s="16" t="s">
        <v>74</v>
      </c>
      <c r="K98" s="16" t="s">
        <v>322</v>
      </c>
    </row>
    <row r="99" customFormat="false" ht="31.5" hidden="false" customHeight="true" outlineLevel="0" collapsed="false">
      <c r="A99" s="15" t="n">
        <v>95</v>
      </c>
      <c r="B99" s="16" t="s">
        <v>323</v>
      </c>
      <c r="C99" s="16" t="s">
        <v>72</v>
      </c>
      <c r="D99" s="16" t="s">
        <v>324</v>
      </c>
      <c r="E99" s="16" t="s">
        <v>69</v>
      </c>
      <c r="F99" s="17" t="n">
        <v>1</v>
      </c>
      <c r="G99" s="18" t="n">
        <v>3200</v>
      </c>
      <c r="H99" s="18" t="n">
        <f aca="false">F99*G99</f>
        <v>3200</v>
      </c>
      <c r="I99" s="19" t="s">
        <v>223</v>
      </c>
      <c r="J99" s="16" t="s">
        <v>87</v>
      </c>
      <c r="K99" s="16" t="s">
        <v>325</v>
      </c>
    </row>
    <row r="101" customFormat="false" ht="21.75" hidden="false" customHeight="true" outlineLevel="0" collapsed="false">
      <c r="A101" s="20" t="s">
        <v>326</v>
      </c>
      <c r="B101" s="20"/>
      <c r="C101" s="20"/>
      <c r="D101" s="20"/>
      <c r="E101" s="20"/>
      <c r="F101" s="20"/>
      <c r="G101" s="20"/>
      <c r="H101" s="21" t="n">
        <f aca="false">H5+H6+H7+H8+H9+H10+H11+H12+H13+H14+H15+H16+H17+H18+H19+H20+H21+H22+H23+H24+H25+H26+H27+H28+H29+H30+H31+H32+H33+H34+H35+H36+H37+H38+H39+H40+H41+H42+H43+H44+H45+H46+H47+H48+H49+H50+H51+H52+H53+H54+H55+H56+H57+H58+H59+H61+H62+H64+H65+H67+H68+H69+H70+H71+H72+H74+H75+H76+H77+H78+H79+H80+H81+H82+H83+H84+H85+H86</f>
        <v>35415</v>
      </c>
      <c r="I101" s="22"/>
      <c r="J101" s="22"/>
      <c r="K101" s="22"/>
    </row>
    <row r="102" customFormat="false" ht="21.75" hidden="false" customHeight="true" outlineLevel="0" collapsed="false">
      <c r="A102" s="23" t="s">
        <v>327</v>
      </c>
      <c r="B102" s="23"/>
      <c r="C102" s="23"/>
      <c r="D102" s="23"/>
      <c r="E102" s="23"/>
      <c r="F102" s="23"/>
      <c r="G102" s="23"/>
      <c r="H102" s="24" t="n">
        <f aca="false">H60+H63+H73+H87+H88+H89+H90+H91+H92+H93</f>
        <v>10815</v>
      </c>
      <c r="I102" s="25"/>
      <c r="J102" s="25"/>
      <c r="K102" s="25"/>
    </row>
    <row r="103" customFormat="false" ht="21.75" hidden="false" customHeight="true" outlineLevel="0" collapsed="false">
      <c r="A103" s="26" t="s">
        <v>328</v>
      </c>
      <c r="B103" s="26"/>
      <c r="C103" s="26"/>
      <c r="D103" s="26"/>
      <c r="E103" s="26"/>
      <c r="F103" s="26"/>
      <c r="G103" s="26"/>
      <c r="H103" s="27" t="n">
        <f aca="false">H66+H94+H95+H96+H97+H98+H99</f>
        <v>23300</v>
      </c>
      <c r="I103" s="28"/>
      <c r="J103" s="28"/>
      <c r="K103" s="28"/>
    </row>
    <row r="104" customFormat="false" ht="21.75" hidden="false" customHeight="true" outlineLevel="0" collapsed="false">
      <c r="A104" s="29" t="s">
        <v>329</v>
      </c>
      <c r="B104" s="29"/>
      <c r="C104" s="29"/>
      <c r="D104" s="29"/>
      <c r="E104" s="29"/>
      <c r="F104" s="29"/>
      <c r="G104" s="29"/>
      <c r="H104" s="30" t="n">
        <f aca="false">SUM(H5:H99)</f>
        <v>69530</v>
      </c>
      <c r="I104" s="31"/>
      <c r="J104" s="31"/>
      <c r="K104" s="31"/>
    </row>
    <row r="106" customFormat="false" ht="36" hidden="false" customHeight="true" outlineLevel="0" collapsed="false">
      <c r="A106" s="32" t="s">
        <v>330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</row>
  </sheetData>
  <mergeCells count="8">
    <mergeCell ref="A1:K1"/>
    <mergeCell ref="A2:K2"/>
    <mergeCell ref="A3:K3"/>
    <mergeCell ref="A101:G101"/>
    <mergeCell ref="A102:G102"/>
    <mergeCell ref="A103:G103"/>
    <mergeCell ref="A104:G104"/>
    <mergeCell ref="A106:K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20"/>
    <col collapsed="false" customWidth="true" hidden="false" outlineLevel="0" max="6" min="6" style="0" width="3"/>
  </cols>
  <sheetData>
    <row r="1" customFormat="false" ht="51.75" hidden="false" customHeight="true" outlineLevel="0" collapsed="false">
      <c r="A1" s="33" t="s">
        <v>331</v>
      </c>
      <c r="B1" s="33"/>
      <c r="C1" s="33"/>
      <c r="D1" s="33"/>
      <c r="E1" s="33"/>
      <c r="F1" s="33"/>
    </row>
    <row r="2" customFormat="false" ht="13.5" hidden="false" customHeight="true" outlineLevel="0" collapsed="false"/>
    <row r="3" customFormat="false" ht="24" hidden="false" customHeight="true" outlineLevel="0" collapsed="false">
      <c r="B3" s="34" t="s">
        <v>332</v>
      </c>
      <c r="C3" s="34"/>
      <c r="D3" s="34"/>
      <c r="E3" s="34"/>
    </row>
    <row r="4" customFormat="false" ht="21.75" hidden="false" customHeight="true" outlineLevel="0" collapsed="false">
      <c r="B4" s="35" t="s">
        <v>333</v>
      </c>
      <c r="C4" s="36" t="s">
        <v>334</v>
      </c>
      <c r="D4" s="37" t="n">
        <v>35415</v>
      </c>
      <c r="E4" s="38" t="n">
        <v>0.509348482669351</v>
      </c>
    </row>
    <row r="5" customFormat="false" ht="21.75" hidden="false" customHeight="true" outlineLevel="0" collapsed="false">
      <c r="B5" s="39" t="s">
        <v>335</v>
      </c>
      <c r="C5" s="40" t="s">
        <v>336</v>
      </c>
      <c r="D5" s="41" t="n">
        <v>10815</v>
      </c>
      <c r="E5" s="42" t="n">
        <v>0.155544369336977</v>
      </c>
    </row>
    <row r="6" customFormat="false" ht="21.75" hidden="false" customHeight="true" outlineLevel="0" collapsed="false">
      <c r="B6" s="43" t="s">
        <v>337</v>
      </c>
      <c r="C6" s="44" t="s">
        <v>338</v>
      </c>
      <c r="D6" s="45" t="n">
        <v>23300</v>
      </c>
      <c r="E6" s="46" t="n">
        <v>0.335107147993672</v>
      </c>
    </row>
    <row r="7" customFormat="false" ht="24" hidden="false" customHeight="true" outlineLevel="0" collapsed="false">
      <c r="B7" s="47" t="s">
        <v>329</v>
      </c>
      <c r="C7" s="48" t="n">
        <v>95</v>
      </c>
      <c r="D7" s="49" t="n">
        <v>69530</v>
      </c>
      <c r="E7" s="50" t="n">
        <v>1</v>
      </c>
    </row>
    <row r="9" customFormat="false" ht="24" hidden="false" customHeight="true" outlineLevel="0" collapsed="false">
      <c r="B9" s="34" t="s">
        <v>339</v>
      </c>
      <c r="C9" s="34"/>
      <c r="D9" s="34"/>
      <c r="E9" s="34"/>
    </row>
    <row r="10" customFormat="false" ht="19.5" hidden="false" customHeight="true" outlineLevel="0" collapsed="false">
      <c r="B10" s="51" t="s">
        <v>4</v>
      </c>
      <c r="C10" s="51" t="s">
        <v>340</v>
      </c>
      <c r="D10" s="51" t="s">
        <v>341</v>
      </c>
      <c r="E10" s="51" t="s">
        <v>342</v>
      </c>
    </row>
    <row r="11" customFormat="false" ht="19.5" hidden="false" customHeight="true" outlineLevel="0" collapsed="false">
      <c r="B11" s="52" t="s">
        <v>165</v>
      </c>
      <c r="C11" s="53" t="n">
        <v>14</v>
      </c>
      <c r="D11" s="54" t="n">
        <v>22367</v>
      </c>
      <c r="E11" s="55" t="n">
        <v>0.321688479792895</v>
      </c>
    </row>
    <row r="12" customFormat="false" ht="19.5" hidden="false" customHeight="true" outlineLevel="0" collapsed="false">
      <c r="B12" s="56" t="s">
        <v>72</v>
      </c>
      <c r="C12" s="57" t="n">
        <v>19</v>
      </c>
      <c r="D12" s="58" t="n">
        <v>19110</v>
      </c>
      <c r="E12" s="59" t="n">
        <v>0.27484539047893</v>
      </c>
    </row>
    <row r="13" customFormat="false" ht="19.5" hidden="false" customHeight="true" outlineLevel="0" collapsed="false">
      <c r="B13" s="52" t="s">
        <v>14</v>
      </c>
      <c r="C13" s="53" t="n">
        <v>16</v>
      </c>
      <c r="D13" s="54" t="n">
        <v>11445</v>
      </c>
      <c r="E13" s="55" t="n">
        <v>0.164605206385733</v>
      </c>
    </row>
    <row r="14" customFormat="false" ht="19.5" hidden="false" customHeight="true" outlineLevel="0" collapsed="false">
      <c r="B14" s="56" t="s">
        <v>114</v>
      </c>
      <c r="C14" s="57" t="n">
        <v>16</v>
      </c>
      <c r="D14" s="58" t="n">
        <v>5209</v>
      </c>
      <c r="E14" s="59" t="n">
        <v>0.0749173018840788</v>
      </c>
    </row>
    <row r="15" customFormat="false" ht="19.5" hidden="false" customHeight="true" outlineLevel="0" collapsed="false">
      <c r="B15" s="52" t="s">
        <v>226</v>
      </c>
      <c r="C15" s="53" t="n">
        <v>8</v>
      </c>
      <c r="D15" s="54" t="n">
        <v>4565</v>
      </c>
      <c r="E15" s="55" t="n">
        <v>0.0656551129009061</v>
      </c>
    </row>
    <row r="16" customFormat="false" ht="19.5" hidden="false" customHeight="true" outlineLevel="0" collapsed="false">
      <c r="B16" s="56" t="s">
        <v>194</v>
      </c>
      <c r="C16" s="57" t="n">
        <v>9</v>
      </c>
      <c r="D16" s="58" t="n">
        <v>4524</v>
      </c>
      <c r="E16" s="59" t="n">
        <v>0.0650654393786855</v>
      </c>
    </row>
    <row r="17" customFormat="false" ht="19.5" hidden="false" customHeight="true" outlineLevel="0" collapsed="false">
      <c r="B17" s="52" t="s">
        <v>247</v>
      </c>
      <c r="C17" s="53" t="n">
        <v>6</v>
      </c>
      <c r="D17" s="54" t="n">
        <v>1367</v>
      </c>
      <c r="E17" s="55" t="n">
        <v>0.0196605781676974</v>
      </c>
    </row>
    <row r="18" customFormat="false" ht="19.5" hidden="false" customHeight="true" outlineLevel="0" collapsed="false">
      <c r="B18" s="56" t="s">
        <v>266</v>
      </c>
      <c r="C18" s="57" t="n">
        <v>7</v>
      </c>
      <c r="D18" s="58" t="n">
        <v>943</v>
      </c>
      <c r="E18" s="59" t="n">
        <v>0.0135624910110744</v>
      </c>
    </row>
    <row r="20" customFormat="false" ht="24" hidden="false" customHeight="true" outlineLevel="0" collapsed="false">
      <c r="B20" s="34" t="s">
        <v>343</v>
      </c>
      <c r="C20" s="34"/>
      <c r="D20" s="34"/>
      <c r="E20" s="34"/>
    </row>
    <row r="21" customFormat="false" ht="21.75" hidden="false" customHeight="true" outlineLevel="0" collapsed="false">
      <c r="B21" s="60" t="s">
        <v>344</v>
      </c>
      <c r="D21" s="61" t="n">
        <v>16274</v>
      </c>
      <c r="E21" s="38" t="n">
        <v>0.234057241478499</v>
      </c>
    </row>
    <row r="22" customFormat="false" ht="21.75" hidden="false" customHeight="true" outlineLevel="0" collapsed="false">
      <c r="B22" s="62" t="s">
        <v>345</v>
      </c>
      <c r="D22" s="63" t="n">
        <v>53256</v>
      </c>
      <c r="E22" s="42" t="n">
        <v>0.765942758521502</v>
      </c>
    </row>
  </sheetData>
  <mergeCells count="4">
    <mergeCell ref="A1:F1"/>
    <mergeCell ref="B3:E3"/>
    <mergeCell ref="B9:E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2026-04-17T22:50:52Z</dcterms:created>
  <dc:creator>openpyxl</dc:creator>
  <dc:description/>
  <dc:language>en-US</dc:language>
  <cp:lastModifiedBy/>
  <dcterms:modified xsi:type="dcterms:W3CDTF">2026-04-17T22:50:52Z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