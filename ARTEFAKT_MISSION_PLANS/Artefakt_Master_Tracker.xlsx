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📋 Registration" sheetId="2" state="visible" r:id="rId2"/>
    <sheet xmlns:r="http://schemas.openxmlformats.org/officeDocument/2006/relationships" name="💰 Grants Canada" sheetId="3" state="visible" r:id="rId3"/>
    <sheet xmlns:r="http://schemas.openxmlformats.org/officeDocument/2006/relationships" name="🇺🇸 Grants USA" sheetId="4" state="visible" r:id="rId4"/>
    <sheet xmlns:r="http://schemas.openxmlformats.org/officeDocument/2006/relationships" name="🎨 Programming" sheetId="5" state="visible" r:id="rId5"/>
    <sheet xmlns:r="http://schemas.openxmlformats.org/officeDocument/2006/relationships" name="📇 Contacts" sheetId="6" state="visible" r:id="rId6"/>
    <sheet xmlns:r="http://schemas.openxmlformats.org/officeDocument/2006/relationships" name="💵 Financ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7A4A"/>
      <sz val="22"/>
    </font>
    <font>
      <name val="Arial"/>
      <charset val="1"/>
      <family val="0"/>
      <b val="1"/>
      <color rgb="FF2980B9"/>
      <sz val="22"/>
    </font>
    <font>
      <name val="Arial"/>
      <charset val="1"/>
      <family val="0"/>
      <b val="1"/>
      <color rgb="FFC8A84B"/>
      <sz val="22"/>
    </font>
    <font>
      <name val="Arial"/>
      <charset val="1"/>
      <family val="0"/>
      <b val="1"/>
      <color rgb="FF2E9E68"/>
      <sz val="22"/>
    </font>
    <font>
      <name val="Arial"/>
      <charset val="1"/>
      <family val="0"/>
      <color rgb="FF7F7F7F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3D3D3D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A1A1A"/>
      <sz val="10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FF1A7A4A"/>
        <bgColor rgb="FF008000"/>
      </patternFill>
    </fill>
    <fill>
      <patternFill patternType="solid">
        <fgColor rgb="FF2E9E68"/>
        <bgColor rgb="FF1A7A4A"/>
      </patternFill>
    </fill>
    <fill>
      <patternFill patternType="solid">
        <fgColor rgb="FF2980B9"/>
        <bgColor rgb="FF0066CC"/>
      </patternFill>
    </fill>
    <fill>
      <patternFill patternType="solid">
        <fgColor rgb="FFC8A84B"/>
        <bgColor rgb="FFFF9900"/>
      </patternFill>
    </fill>
    <fill>
      <patternFill patternType="solid">
        <fgColor rgb="FFFFFFFF"/>
        <bgColor rgb="FFF5F5F5"/>
      </patternFill>
    </fill>
    <fill>
      <patternFill patternType="solid">
        <fgColor rgb="FFC0392B"/>
        <bgColor rgb="FF993366"/>
      </patternFill>
    </fill>
    <fill>
      <patternFill patternType="solid">
        <fgColor rgb="FF3D3D3D"/>
        <bgColor rgb="FF333300"/>
      </patternFill>
    </fill>
    <fill>
      <patternFill patternType="solid">
        <fgColor rgb="FFFDECEA"/>
        <bgColor rgb="FFFDF6E3"/>
      </patternFill>
    </fill>
    <fill>
      <patternFill patternType="solid">
        <fgColor rgb="FFFDF6E3"/>
        <bgColor rgb="FFF5F5F5"/>
      </patternFill>
    </fill>
    <fill>
      <patternFill patternType="solid">
        <fgColor rgb="FFEDF7F2"/>
        <bgColor rgb="FFF5F5F5"/>
      </patternFill>
    </fill>
    <fill>
      <patternFill patternType="solid">
        <fgColor rgb="FFE8F4FD"/>
        <bgColor rgb="FFEDF7F2"/>
      </patternFill>
    </fill>
    <fill>
      <patternFill patternType="solid">
        <fgColor rgb="FFF5F5F5"/>
        <bgColor rgb="FFEDF7F2"/>
      </patternFill>
    </fill>
    <fill>
      <patternFill patternType="solid">
        <fgColor rgb="001A7A4A"/>
      </patternFill>
    </fill>
    <fill>
      <patternFill patternType="solid">
        <fgColor rgb="00EDF7F2"/>
      </patternFill>
    </fill>
    <fill>
      <patternFill patternType="solid">
        <fgColor rgb="00FFFFFF"/>
      </patternFill>
    </fill>
    <fill>
      <patternFill patternType="solid">
        <fgColor rgb="001A1A1A"/>
      </patternFill>
    </fill>
    <fill>
      <patternFill patternType="solid">
        <fgColor rgb="00EBEBEB"/>
      </patternFill>
    </fill>
    <fill>
      <patternFill patternType="solid">
        <fgColor rgb="00F0EDE8"/>
      </patternFill>
    </fill>
    <fill>
      <patternFill patternType="solid">
        <fgColor rgb="00EEF0F5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164" fontId="14" fillId="11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164" fontId="14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164" fontId="18" fillId="6" borderId="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164" fontId="16" fillId="2" borderId="2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center" wrapText="1"/>
    </xf>
    <xf numFmtId="164" fontId="14" fillId="11" borderId="2" applyAlignment="1" pivotButton="0" quotePrefix="0" xfId="0">
      <alignment horizontal="left" vertical="center" wrapText="1"/>
    </xf>
    <xf numFmtId="164" fontId="14" fillId="6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left" vertical="center" wrapText="1"/>
    </xf>
    <xf numFmtId="0" fontId="20" fillId="14" borderId="0" applyAlignment="1" pivotButton="0" quotePrefix="0" xfId="0">
      <alignment horizontal="left" vertical="center"/>
    </xf>
    <xf numFmtId="0" fontId="21" fillId="15" borderId="5" applyAlignment="1" pivotButton="0" quotePrefix="0" xfId="0">
      <alignment horizontal="left" vertical="center" wrapText="1"/>
    </xf>
    <xf numFmtId="0" fontId="21" fillId="16" borderId="5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164" fontId="14" fillId="11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164" fontId="14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164" fontId="18" fillId="6" borderId="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164" fontId="16" fillId="2" borderId="2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center" wrapText="1"/>
    </xf>
    <xf numFmtId="164" fontId="14" fillId="11" borderId="2" applyAlignment="1" pivotButton="0" quotePrefix="0" xfId="0">
      <alignment horizontal="left" vertical="center" wrapText="1"/>
    </xf>
    <xf numFmtId="164" fontId="14" fillId="6" borderId="2" applyAlignment="1" pivotButton="0" quotePrefix="0" xfId="0">
      <alignment horizontal="left" vertical="center" wrapText="1"/>
    </xf>
    <xf numFmtId="0" fontId="22" fillId="17" borderId="0" applyAlignment="1" pivotButton="0" quotePrefix="0" xfId="0">
      <alignment horizontal="left" vertical="center" indent="1"/>
    </xf>
    <xf numFmtId="0" fontId="23" fillId="18" borderId="5" applyAlignment="1" pivotButton="0" quotePrefix="0" xfId="0">
      <alignment horizontal="left" vertical="center" indent="1"/>
    </xf>
    <xf numFmtId="0" fontId="24" fillId="19" borderId="5" applyAlignment="1" pivotButton="0" quotePrefix="0" xfId="0">
      <alignment horizontal="left" vertical="center" wrapText="1" indent="1"/>
    </xf>
    <xf numFmtId="0" fontId="24" fillId="20" borderId="5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7F7F7F"/>
      <rgbColor rgb="FF9999FF"/>
      <rgbColor rgb="FF993366"/>
      <rgbColor rgb="FFFDF6E3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DF7F2"/>
      <rgbColor rgb="FFF5F5F5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003366"/>
      <rgbColor rgb="FF2E9E68"/>
      <rgbColor rgb="FF003300"/>
      <rgbColor rgb="FF333300"/>
      <rgbColor rgb="FFC0392B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1" min="1" max="1"/>
    <col width="14" customWidth="1" style="41" min="2" max="2"/>
    <col width="52" customWidth="1" style="41" min="3" max="3"/>
    <col width="16" customWidth="1" style="41" min="4" max="5"/>
    <col width="14" customWidth="1" style="41" min="6" max="6"/>
    <col width="8" customWidth="1" style="41" min="7" max="8"/>
  </cols>
  <sheetData>
    <row r="1" ht="39.75" customHeight="1" s="42">
      <c r="A1" s="43" t="inlineStr">
        <is>
          <t>ARTEFAKT — MASTER TRACKER</t>
        </is>
      </c>
    </row>
    <row r="2" ht="21.75" customHeight="1" s="42">
      <c r="A2" s="44" t="inlineStr">
        <is>
          <t>Calgary Arts Society | Canada + USA Operations | Ophelia AI Agent</t>
        </is>
      </c>
    </row>
    <row r="3" ht="7.5" customHeight="1" s="42"/>
    <row r="4" ht="19.5" customHeight="1" s="42">
      <c r="A4" s="45" t="inlineStr">
        <is>
          <t>REGISTRATION</t>
        </is>
      </c>
      <c r="C4" s="46" t="inlineStr">
        <is>
          <t>GRANTS (CA)</t>
        </is>
      </c>
      <c r="E4" s="47" t="inlineStr">
        <is>
          <t>GRANTS (USA)</t>
        </is>
      </c>
      <c r="G4" s="48" t="inlineStr">
        <is>
          <t>PROGRAMS</t>
        </is>
      </c>
    </row>
    <row r="5" ht="36" customHeight="1" s="42">
      <c r="A5" s="49">
        <f>COUNTIF('📋 Registration'!D:D,"✅ Done")</f>
        <v/>
      </c>
      <c r="B5" s="50" t="n"/>
      <c r="C5" s="51">
        <f>COUNTIF('💰 Grants Canada'!G:G,"Submitted")+COUNTIF('💰 Grants Canada'!G:G,"Awarded")</f>
        <v/>
      </c>
      <c r="D5" s="50" t="n"/>
      <c r="E5" s="52">
        <f>COUNTIF('🇺🇸 Grants USA'!G:G,"Submitted")+COUNTIF('🇺🇸 Grants USA'!G:G,"Awarded")</f>
        <v/>
      </c>
      <c r="F5" s="50" t="n"/>
      <c r="G5" s="53">
        <f>COUNTIF('🎨 Programming'!F:F,"Confirmed")</f>
        <v/>
      </c>
      <c r="H5" s="50" t="n"/>
    </row>
    <row r="6" ht="25.5" customHeight="1" s="42">
      <c r="A6" s="54" t="inlineStr">
        <is>
          <t>completed</t>
        </is>
      </c>
      <c r="C6" s="54" t="inlineStr">
        <is>
          <t>completed</t>
        </is>
      </c>
      <c r="E6" s="54" t="inlineStr">
        <is>
          <t>completed</t>
        </is>
      </c>
      <c r="G6" s="54" t="inlineStr">
        <is>
          <t>completed</t>
        </is>
      </c>
    </row>
    <row r="7" ht="25.5" customHeight="1" s="42"/>
    <row r="8" ht="15.75" customHeight="1" s="42"/>
    <row r="9" ht="7.5" customHeight="1" s="42"/>
    <row r="10" ht="25.5" customHeight="1" s="42">
      <c r="A10" s="55" t="inlineStr">
        <is>
          <t>⚡  OPEN ITEMS — URGENT PRIORITIES</t>
        </is>
      </c>
    </row>
    <row r="11" ht="21.75" customHeight="1" s="42">
      <c r="A11" s="56" t="inlineStr">
        <is>
          <t>#</t>
        </is>
      </c>
      <c r="B11" s="56" t="inlineStr">
        <is>
          <t>Priority</t>
        </is>
      </c>
      <c r="C11" s="56" t="inlineStr">
        <is>
          <t>Task</t>
        </is>
      </c>
      <c r="D11" s="56" t="inlineStr">
        <is>
          <t>Category</t>
        </is>
      </c>
      <c r="E11" s="56" t="inlineStr">
        <is>
          <t>Owner</t>
        </is>
      </c>
      <c r="F11" s="56" t="inlineStr">
        <is>
          <t>Target Date</t>
        </is>
      </c>
    </row>
    <row r="12" ht="19.5" customHeight="1" s="42">
      <c r="A12" s="57" t="inlineStr">
        <is>
          <t>1</t>
        </is>
      </c>
      <c r="B12" s="57" t="inlineStr">
        <is>
          <t>🔴 URGENT</t>
        </is>
      </c>
      <c r="C12" s="57" t="inlineStr">
        <is>
          <t>Order NUANS name search report for 'Artefakt'</t>
        </is>
      </c>
      <c r="D12" s="57" t="inlineStr">
        <is>
          <t>Registration</t>
        </is>
      </c>
      <c r="E12" s="57" t="inlineStr">
        <is>
          <t>Jon</t>
        </is>
      </c>
      <c r="F12" s="57" t="inlineStr">
        <is>
          <t>ASAP</t>
        </is>
      </c>
    </row>
    <row r="13" ht="19.5" customHeight="1" s="42">
      <c r="A13" s="57" t="inlineStr">
        <is>
          <t>2</t>
        </is>
      </c>
      <c r="B13" s="57" t="inlineStr">
        <is>
          <t>🔴 URGENT</t>
        </is>
      </c>
      <c r="C13" s="57" t="inlineStr">
        <is>
          <t>Identify 5 founding members to sign incorporation documents</t>
        </is>
      </c>
      <c r="D13" s="57" t="inlineStr">
        <is>
          <t>Registration</t>
        </is>
      </c>
      <c r="E13" s="57" t="inlineStr">
        <is>
          <t>Jon</t>
        </is>
      </c>
      <c r="F13" s="57" t="inlineStr">
        <is>
          <t>ASAP</t>
        </is>
      </c>
    </row>
    <row r="14" ht="19.5" customHeight="1" s="42">
      <c r="A14" s="57" t="inlineStr">
        <is>
          <t>3</t>
        </is>
      </c>
      <c r="B14" s="57" t="inlineStr">
        <is>
          <t>🔴 URGENT</t>
        </is>
      </c>
      <c r="C14" s="57" t="inlineStr">
        <is>
          <t>Create dedicated Artefakt email address (artefakt@...)</t>
        </is>
      </c>
      <c r="D14" s="57" t="inlineStr">
        <is>
          <t>Admin</t>
        </is>
      </c>
      <c r="E14" s="57" t="inlineStr">
        <is>
          <t>Jon</t>
        </is>
      </c>
      <c r="F14" s="57" t="inlineStr">
        <is>
          <t>This week</t>
        </is>
      </c>
    </row>
    <row r="15" ht="19.5" customHeight="1" s="42">
      <c r="A15" s="58" t="inlineStr">
        <is>
          <t>4</t>
        </is>
      </c>
      <c r="B15" s="58" t="inlineStr">
        <is>
          <t>🟡 HIGH</t>
        </is>
      </c>
      <c r="C15" s="58" t="inlineStr">
        <is>
          <t>Draft bylaws using Alberta Societies Act template</t>
        </is>
      </c>
      <c r="D15" s="58" t="inlineStr">
        <is>
          <t>Registration</t>
        </is>
      </c>
      <c r="E15" s="58" t="inlineStr">
        <is>
          <t>Ophelia</t>
        </is>
      </c>
      <c r="F15" s="58" t="inlineStr">
        <is>
          <t>2 weeks</t>
        </is>
      </c>
    </row>
    <row r="16" ht="19.5" customHeight="1" s="42">
      <c r="A16" s="58" t="inlineStr">
        <is>
          <t>5</t>
        </is>
      </c>
      <c r="B16" s="58" t="inlineStr">
        <is>
          <t>🟡 HIGH</t>
        </is>
      </c>
      <c r="C16" s="58" t="inlineStr">
        <is>
          <t>Submit society registration to Alberta Corporate Registry</t>
        </is>
      </c>
      <c r="D16" s="58" t="inlineStr">
        <is>
          <t>Registration</t>
        </is>
      </c>
      <c r="E16" s="58" t="inlineStr">
        <is>
          <t>Jon</t>
        </is>
      </c>
      <c r="F16" s="58" t="inlineStr">
        <is>
          <t>After bylaws</t>
        </is>
      </c>
    </row>
    <row r="17" ht="19.5" customHeight="1" s="42">
      <c r="A17" s="58" t="inlineStr">
        <is>
          <t>6</t>
        </is>
      </c>
      <c r="B17" s="58" t="inlineStr">
        <is>
          <t>🟡 HIGH</t>
        </is>
      </c>
      <c r="C17" s="58" t="inlineStr">
        <is>
          <t>Set up CAF America Friends Fund (cross-border donations)</t>
        </is>
      </c>
      <c r="D17" s="58" t="inlineStr">
        <is>
          <t>Funding USA</t>
        </is>
      </c>
      <c r="E17" s="58" t="inlineStr">
        <is>
          <t>Ophelia</t>
        </is>
      </c>
      <c r="F17" s="58" t="inlineStr">
        <is>
          <t>April 2026</t>
        </is>
      </c>
    </row>
    <row r="18" ht="19.5" customHeight="1" s="42">
      <c r="A18" s="59" t="inlineStr">
        <is>
          <t>7</t>
        </is>
      </c>
      <c r="B18" s="59" t="inlineStr">
        <is>
          <t>🟢 NORMAL</t>
        </is>
      </c>
      <c r="C18" s="59" t="inlineStr">
        <is>
          <t>Research Alberta Foundation for the Arts grant cycles</t>
        </is>
      </c>
      <c r="D18" s="59" t="inlineStr">
        <is>
          <t>Grants CA</t>
        </is>
      </c>
      <c r="E18" s="59" t="inlineStr">
        <is>
          <t>Ophelia</t>
        </is>
      </c>
      <c r="F18" s="59" t="inlineStr">
        <is>
          <t>May 2026</t>
        </is>
      </c>
    </row>
    <row r="19" ht="19.5" customHeight="1" s="42">
      <c r="A19" s="60" t="inlineStr">
        <is>
          <t>8</t>
        </is>
      </c>
      <c r="B19" s="60" t="inlineStr">
        <is>
          <t>🟢 NORMAL</t>
        </is>
      </c>
      <c r="C19" s="60" t="inlineStr">
        <is>
          <t>Choose and set up social media platforms</t>
        </is>
      </c>
      <c r="D19" s="60" t="inlineStr">
        <is>
          <t>Marketing</t>
        </is>
      </c>
      <c r="E19" s="60" t="inlineStr">
        <is>
          <t>Jon + Ophelia</t>
        </is>
      </c>
      <c r="F19" s="60" t="inlineStr">
        <is>
          <t>May 2026</t>
        </is>
      </c>
    </row>
    <row r="20" ht="19.5" customHeight="1" s="42">
      <c r="A20" s="59" t="inlineStr">
        <is>
          <t>9</t>
        </is>
      </c>
      <c r="B20" s="59" t="inlineStr">
        <is>
          <t>🟢 NORMAL</t>
        </is>
      </c>
      <c r="C20" s="59" t="inlineStr">
        <is>
          <t>Confirm Artefakt name or explore alternatives</t>
        </is>
      </c>
      <c r="D20" s="59" t="inlineStr">
        <is>
          <t>Admin</t>
        </is>
      </c>
      <c r="E20" s="59" t="inlineStr">
        <is>
          <t>Jon</t>
        </is>
      </c>
      <c r="F20" s="59" t="inlineStr">
        <is>
          <t>This week</t>
        </is>
      </c>
    </row>
  </sheetData>
  <mergeCells count="15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A10:H10"/>
    <mergeCell ref="G6:H6"/>
    <mergeCell ref="A1:H1"/>
    <mergeCell ref="A6:B6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1" min="1" max="1"/>
    <col width="30" customWidth="1" style="41" min="2" max="2"/>
    <col width="55" customWidth="1" style="41" min="3" max="3"/>
    <col width="15" customWidth="1" style="41" min="4" max="4"/>
    <col width="18" customWidth="1" style="41" min="5" max="5"/>
    <col width="42" customWidth="1" style="41" min="6" max="6"/>
  </cols>
  <sheetData>
    <row r="1" ht="31.5" customHeight="1" s="42">
      <c r="A1" s="61" t="inlineStr">
        <is>
          <t>SOCIETY REGISTRATION TRACKER — CANADA &amp; USA</t>
        </is>
      </c>
    </row>
    <row r="2" ht="21.75" customHeight="1" s="42">
      <c r="A2" s="62" t="inlineStr">
        <is>
          <t>🍁  CANADA — Alberta Societies Act Registration</t>
        </is>
      </c>
    </row>
    <row r="3" ht="21.75" customHeight="1" s="42">
      <c r="A3" s="56" t="inlineStr">
        <is>
          <t>Step</t>
        </is>
      </c>
      <c r="B3" s="56" t="inlineStr">
        <is>
          <t>Task</t>
        </is>
      </c>
      <c r="C3" s="56" t="inlineStr">
        <is>
          <t>Details</t>
        </is>
      </c>
      <c r="D3" s="56" t="inlineStr">
        <is>
          <t>Status</t>
        </is>
      </c>
      <c r="E3" s="56" t="inlineStr">
        <is>
          <t>Owner</t>
        </is>
      </c>
      <c r="F3" s="56" t="inlineStr">
        <is>
          <t>Notes</t>
        </is>
      </c>
    </row>
    <row r="4" ht="31.5" customHeight="1" s="42">
      <c r="A4" s="59" t="inlineStr">
        <is>
          <t>1</t>
        </is>
      </c>
      <c r="B4" s="59" t="inlineStr">
        <is>
          <t>NUANS Name Search</t>
        </is>
      </c>
      <c r="C4" s="59" t="inlineStr">
        <is>
          <t>Order report to confirm 'Artefakt' is available — $55 CAD at nuans.com</t>
        </is>
      </c>
      <c r="D4" s="59" t="inlineStr">
        <is>
          <t>⬜ Pending</t>
        </is>
      </c>
      <c r="E4" s="59" t="inlineStr">
        <is>
          <t>Jon</t>
        </is>
      </c>
      <c r="F4" s="59" t="inlineStr">
        <is>
          <t>Valid 90 days from order date</t>
        </is>
      </c>
    </row>
    <row r="5" ht="31.5" customHeight="1" s="42">
      <c r="A5" s="60" t="inlineStr">
        <is>
          <t>2</t>
        </is>
      </c>
      <c r="B5" s="60" t="inlineStr">
        <is>
          <t>Reserve the Name</t>
        </is>
      </c>
      <c r="C5" s="60" t="inlineStr">
        <is>
          <t>Submit name reservation via Alberta Corporate Registry Online (CORES)</t>
        </is>
      </c>
      <c r="D5" s="60" t="inlineStr">
        <is>
          <t>⬜ Pending</t>
        </is>
      </c>
      <c r="E5" s="60" t="inlineStr">
        <is>
          <t>Jon</t>
        </is>
      </c>
      <c r="F5" s="60" t="inlineStr">
        <is>
          <t>Cost: ~$30 CAD</t>
        </is>
      </c>
    </row>
    <row r="6" ht="31.5" customHeight="1" s="42">
      <c r="A6" s="59" t="inlineStr">
        <is>
          <t>3</t>
        </is>
      </c>
      <c r="B6" s="59" t="inlineStr">
        <is>
          <t>Identify 5 Founding Members</t>
        </is>
      </c>
      <c r="C6" s="59" t="inlineStr">
        <is>
          <t>Min. 3 required; need full legal names, addresses, signatures</t>
        </is>
      </c>
      <c r="D6" s="59" t="inlineStr">
        <is>
          <t>⬜ Pending</t>
        </is>
      </c>
      <c r="E6" s="59" t="inlineStr">
        <is>
          <t>Jon</t>
        </is>
      </c>
      <c r="F6" s="59" t="inlineStr">
        <is>
          <t>Board roles: President, Secretary, Treasurer + 2 Directors</t>
        </is>
      </c>
    </row>
    <row r="7" ht="31.5" customHeight="1" s="42">
      <c r="A7" s="60" t="inlineStr">
        <is>
          <t>4</t>
        </is>
      </c>
      <c r="B7" s="60" t="inlineStr">
        <is>
          <t>Draft Bylaws</t>
        </is>
      </c>
      <c r="C7" s="60" t="inlineStr">
        <is>
          <t>Use Alberta template; customize for arts society. See Registration Guide.</t>
        </is>
      </c>
      <c r="D7" s="60" t="inlineStr">
        <is>
          <t>⬜ Pending</t>
        </is>
      </c>
      <c r="E7" s="60" t="inlineStr">
        <is>
          <t>Ophelia</t>
        </is>
      </c>
      <c r="F7" s="60" t="inlineStr">
        <is>
          <t>Must include: name, purpose, membership, meetings, dissolution</t>
        </is>
      </c>
    </row>
    <row r="8" ht="31.5" customHeight="1" s="42">
      <c r="A8" s="59" t="inlineStr">
        <is>
          <t>5</t>
        </is>
      </c>
      <c r="B8" s="59" t="inlineStr">
        <is>
          <t>Complete Form REG3369</t>
        </is>
      </c>
      <c r="C8" s="59" t="inlineStr">
        <is>
          <t>Society registration application form — download from ab.ca</t>
        </is>
      </c>
      <c r="D8" s="59" t="inlineStr">
        <is>
          <t>⬜ Pending</t>
        </is>
      </c>
      <c r="E8" s="59" t="inlineStr">
        <is>
          <t>Jon + Ophelia</t>
        </is>
      </c>
      <c r="F8" s="59" t="n"/>
    </row>
    <row r="9" ht="31.5" customHeight="1" s="42">
      <c r="A9" s="60" t="inlineStr">
        <is>
          <t>6</t>
        </is>
      </c>
      <c r="B9" s="60" t="inlineStr">
        <is>
          <t>Submit + Pay Fee</t>
        </is>
      </c>
      <c r="C9" s="60" t="inlineStr">
        <is>
          <t>Submit to Service Alberta — $50 CAD registration fee</t>
        </is>
      </c>
      <c r="D9" s="60" t="inlineStr">
        <is>
          <t>⬜ Pending</t>
        </is>
      </c>
      <c r="E9" s="60" t="inlineStr">
        <is>
          <t>Jon</t>
        </is>
      </c>
      <c r="F9" s="60" t="inlineStr">
        <is>
          <t>Process time: 3–10 business days</t>
        </is>
      </c>
    </row>
    <row r="10" ht="31.5" customHeight="1" s="42">
      <c r="A10" s="59" t="inlineStr">
        <is>
          <t>7</t>
        </is>
      </c>
      <c r="B10" s="59" t="inlineStr">
        <is>
          <t>Receive Certificate of Incorporation</t>
        </is>
      </c>
      <c r="C10" s="59" t="inlineStr">
        <is>
          <t>Alberta Corporate Registry issues certificate confirming legal status</t>
        </is>
      </c>
      <c r="D10" s="59" t="inlineStr">
        <is>
          <t>⬜ Pending</t>
        </is>
      </c>
      <c r="E10" s="59" t="inlineStr">
        <is>
          <t>—</t>
        </is>
      </c>
      <c r="F10" s="59" t="inlineStr">
        <is>
          <t>Keep permanently on file</t>
        </is>
      </c>
    </row>
    <row r="11" ht="31.5" customHeight="1" s="42">
      <c r="A11" s="60" t="inlineStr">
        <is>
          <t>8</t>
        </is>
      </c>
      <c r="B11" s="60" t="inlineStr">
        <is>
          <t>Apply for CRA Charity Number (optional)</t>
        </is>
      </c>
      <c r="C11" s="60" t="inlineStr">
        <is>
          <t>Apply to Canada Revenue Agency for charitable status (separate from registration)</t>
        </is>
      </c>
      <c r="D11" s="60" t="inlineStr">
        <is>
          <t>⬜ Pending</t>
        </is>
      </c>
      <c r="E11" s="60" t="inlineStr">
        <is>
          <t>Jon + Ophelia</t>
        </is>
      </c>
      <c r="F11" s="60" t="inlineStr">
        <is>
          <t>Enables tax-receipted donations; 6–18 month wait</t>
        </is>
      </c>
    </row>
    <row r="13" ht="21.75" customHeight="1" s="42">
      <c r="A13" s="63" t="inlineStr">
        <is>
          <t>🇺🇸  USA — Cross-Border Fundraising Strategy</t>
        </is>
      </c>
    </row>
    <row r="14" ht="21.75" customHeight="1" s="42">
      <c r="A14" s="56" t="inlineStr">
        <is>
          <t>Step</t>
        </is>
      </c>
      <c r="B14" s="56" t="inlineStr">
        <is>
          <t>Task</t>
        </is>
      </c>
      <c r="C14" s="56" t="inlineStr">
        <is>
          <t>Details</t>
        </is>
      </c>
      <c r="D14" s="56" t="inlineStr">
        <is>
          <t>Status</t>
        </is>
      </c>
      <c r="E14" s="56" t="inlineStr">
        <is>
          <t>Owner</t>
        </is>
      </c>
      <c r="F14" s="56" t="inlineStr">
        <is>
          <t>Notes</t>
        </is>
      </c>
    </row>
    <row r="15" ht="33.75" customHeight="1" s="42">
      <c r="A15" s="60" t="inlineStr">
        <is>
          <t>Phase 1</t>
        </is>
      </c>
      <c r="B15" s="60" t="inlineStr">
        <is>
          <t>Set Up CAF America Friends Fund</t>
        </is>
      </c>
      <c r="C15" s="60" t="inlineStr">
        <is>
          <t>Allows US donors to give tax-deductible donations to Artefakt immediately. Cost: ~$3,500/yr. Contact: cafamerica.org</t>
        </is>
      </c>
      <c r="D15" s="60" t="inlineStr">
        <is>
          <t>⬜ Pending</t>
        </is>
      </c>
      <c r="E15" s="60" t="inlineStr">
        <is>
          <t>Ophelia</t>
        </is>
      </c>
      <c r="F15" s="60" t="inlineStr">
        <is>
          <t>Best immediate option — weeks to set up</t>
        </is>
      </c>
    </row>
    <row r="16" ht="33.75" customHeight="1" s="42">
      <c r="A16" s="64" t="inlineStr">
        <is>
          <t>Phase 1</t>
        </is>
      </c>
      <c r="B16" s="64" t="inlineStr">
        <is>
          <t>Equivalency Determination (for US foundations)</t>
        </is>
      </c>
      <c r="C16" s="64" t="inlineStr">
        <is>
          <t>Allows Artefakt CA to receive grants from US private foundations. Legal opinion: ~$1,500–$3,000 one-time.</t>
        </is>
      </c>
      <c r="D16" s="64" t="inlineStr">
        <is>
          <t>⬜ Pending</t>
        </is>
      </c>
      <c r="E16" s="64" t="inlineStr">
        <is>
          <t>Ophelia + Legal</t>
        </is>
      </c>
      <c r="F16" s="64" t="inlineStr">
        <is>
          <t>Required before applying to US private foundations</t>
        </is>
      </c>
    </row>
    <row r="17" ht="33.75" customHeight="1" s="42">
      <c r="A17" s="60" t="inlineStr">
        <is>
          <t>Phase 2</t>
        </is>
      </c>
      <c r="B17" s="60" t="inlineStr">
        <is>
          <t>'Friends of Artefakt USA' 501(c)(3)</t>
        </is>
      </c>
      <c r="C17" s="60" t="inlineStr">
        <is>
          <t>Set up US non-profit once US fundraising exceeds ~$50K/yr. Timeline: 4–12 months, cost: $5K–$10K.</t>
        </is>
      </c>
      <c r="D17" s="60" t="inlineStr">
        <is>
          <t>⬜ Future</t>
        </is>
      </c>
      <c r="E17" s="60" t="inlineStr">
        <is>
          <t>Jon + US Attorney</t>
        </is>
      </c>
      <c r="F17" s="60" t="inlineStr">
        <is>
          <t>Threshold: ~$50K USD/yr raised in USA</t>
        </is>
      </c>
    </row>
    <row r="18" ht="33.75" customHeight="1" s="42">
      <c r="A18" s="64" t="inlineStr">
        <is>
          <t>Phase 2</t>
        </is>
      </c>
      <c r="B18" s="64" t="inlineStr">
        <is>
          <t>IRS Form 1023 Application</t>
        </is>
      </c>
      <c r="C18" s="64" t="inlineStr">
        <is>
          <t>Apply for 501(c)(3) tax-exempt status for Friends of Artefakt USA</t>
        </is>
      </c>
      <c r="D18" s="64" t="inlineStr">
        <is>
          <t>⬜ Future</t>
        </is>
      </c>
      <c r="E18" s="64" t="inlineStr">
        <is>
          <t>US Attorney</t>
        </is>
      </c>
      <c r="F18" s="64" t="inlineStr">
        <is>
          <t>Part of Phase 2 setup</t>
        </is>
      </c>
    </row>
    <row r="19" ht="33.75" customHeight="1" s="42">
      <c r="A19" s="60" t="inlineStr">
        <is>
          <t>Ongoing</t>
        </is>
      </c>
      <c r="B19" s="60" t="inlineStr">
        <is>
          <t>Annual Reporting (CA)</t>
        </is>
      </c>
      <c r="C19" s="60" t="inlineStr">
        <is>
          <t>Annual return to Alberta Corporate Registry (due on anniversary of incorporation)</t>
        </is>
      </c>
      <c r="D19" s="60" t="inlineStr">
        <is>
          <t>⬜ Pending</t>
        </is>
      </c>
      <c r="E19" s="60" t="inlineStr">
        <is>
          <t>Ophelia</t>
        </is>
      </c>
      <c r="F19" s="60" t="inlineStr">
        <is>
          <t>Fee: ~$30 CAD/yr</t>
        </is>
      </c>
    </row>
    <row r="20" ht="33.75" customHeight="1" s="42">
      <c r="A20" s="64" t="inlineStr">
        <is>
          <t>Ongoing</t>
        </is>
      </c>
      <c r="B20" s="64" t="inlineStr">
        <is>
          <t>Annual Reporting (USA)</t>
        </is>
      </c>
      <c r="C20" s="64" t="inlineStr">
        <is>
          <t>990 form to IRS once 501(c)(3) established</t>
        </is>
      </c>
      <c r="D20" s="64" t="inlineStr">
        <is>
          <t>⬜ Future</t>
        </is>
      </c>
      <c r="E20" s="64" t="inlineStr">
        <is>
          <t>Accountant</t>
        </is>
      </c>
      <c r="F20" s="64" t="inlineStr">
        <is>
          <t>Required for all US non-profits</t>
        </is>
      </c>
    </row>
  </sheetData>
  <mergeCells count="3">
    <mergeCell ref="A13:F13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1" min="1" max="1"/>
    <col width="25" customWidth="1" style="41" min="2" max="2"/>
    <col width="12" customWidth="1" style="41" min="3" max="3"/>
    <col width="14" customWidth="1" style="41" min="4" max="4"/>
    <col width="20" customWidth="1" style="41" min="5" max="5"/>
    <col width="40" customWidth="1" style="41" min="6" max="6"/>
    <col width="14" customWidth="1" style="41" min="7" max="7"/>
    <col width="30" customWidth="1" style="41" min="8" max="8"/>
    <col width="38" customWidth="1" style="41" min="9" max="9"/>
  </cols>
  <sheetData>
    <row r="1" ht="31.5" customHeight="1" s="42">
      <c r="A1" s="61" t="inlineStr">
        <is>
          <t>GRANT TRACKER — CANADA</t>
        </is>
      </c>
    </row>
    <row r="2" ht="21.75" customHeight="1" s="42">
      <c r="A2" s="56" t="inlineStr">
        <is>
          <t>Funder</t>
        </is>
      </c>
      <c r="B2" s="56" t="inlineStr">
        <is>
          <t>Program</t>
        </is>
      </c>
      <c r="C2" s="56" t="inlineStr">
        <is>
          <t>Type</t>
        </is>
      </c>
      <c r="D2" s="56" t="inlineStr">
        <is>
          <t>Max Amount</t>
        </is>
      </c>
      <c r="E2" s="56" t="inlineStr">
        <is>
          <t>Deadline</t>
        </is>
      </c>
      <c r="F2" s="56" t="inlineStr">
        <is>
          <t>Eligibility Notes</t>
        </is>
      </c>
      <c r="G2" s="56" t="inlineStr">
        <is>
          <t>Status</t>
        </is>
      </c>
      <c r="H2" s="56" t="inlineStr">
        <is>
          <t>Contact / URL</t>
        </is>
      </c>
      <c r="I2" s="56" t="inlineStr">
        <is>
          <t>Notes</t>
        </is>
      </c>
    </row>
    <row r="3" ht="30" customHeight="1" s="42">
      <c r="A3" s="59" t="inlineStr">
        <is>
          <t>Alberta Foundation for the Arts</t>
        </is>
      </c>
      <c r="B3" s="59" t="inlineStr">
        <is>
          <t>Project Grant</t>
        </is>
      </c>
      <c r="C3" s="59" t="inlineStr">
        <is>
          <t>Project</t>
        </is>
      </c>
      <c r="D3" s="59" t="inlineStr">
        <is>
          <t>$30,000</t>
        </is>
      </c>
      <c r="E3" s="59" t="inlineStr">
        <is>
          <t>Rolling / Annual</t>
        </is>
      </c>
      <c r="F3" s="59" t="inlineStr">
        <is>
          <t>Must be AB-registered non-profit. Society registration required.</t>
        </is>
      </c>
      <c r="G3" s="59" t="inlineStr">
        <is>
          <t>⬜ Research</t>
        </is>
      </c>
      <c r="H3" s="59" t="inlineStr">
        <is>
          <t>affta.ab.ca</t>
        </is>
      </c>
      <c r="I3" s="59" t="inlineStr">
        <is>
          <t>Top priority — confirm grant cycles and amounts</t>
        </is>
      </c>
    </row>
    <row r="4" ht="30" customHeight="1" s="42">
      <c r="A4" s="60" t="inlineStr">
        <is>
          <t>Alberta Foundation for the Arts</t>
        </is>
      </c>
      <c r="B4" s="60" t="inlineStr">
        <is>
          <t>Operating Grant</t>
        </is>
      </c>
      <c r="C4" s="60" t="inlineStr">
        <is>
          <t>Operating</t>
        </is>
      </c>
      <c r="D4" s="60" t="inlineStr">
        <is>
          <t>$75,000</t>
        </is>
      </c>
      <c r="E4" s="60" t="inlineStr">
        <is>
          <t>Annual — check site</t>
        </is>
      </c>
      <c r="F4" s="60" t="inlineStr">
        <is>
          <t>Established organizations; apply after 1 year of operation</t>
        </is>
      </c>
      <c r="G4" s="60" t="inlineStr">
        <is>
          <t>⬜ Future</t>
        </is>
      </c>
      <c r="H4" s="60" t="inlineStr">
        <is>
          <t>affta.ab.ca</t>
        </is>
      </c>
      <c r="I4" s="60" t="inlineStr">
        <is>
          <t>Apply in Year 2</t>
        </is>
      </c>
    </row>
    <row r="5" ht="30" customHeight="1" s="42">
      <c r="A5" s="59" t="inlineStr">
        <is>
          <t>Calgary Arts Development</t>
        </is>
      </c>
      <c r="B5" s="59" t="inlineStr">
        <is>
          <t>Project Grant</t>
        </is>
      </c>
      <c r="C5" s="59" t="inlineStr">
        <is>
          <t>Project</t>
        </is>
      </c>
      <c r="D5" s="59" t="inlineStr">
        <is>
          <t>$15,000</t>
        </is>
      </c>
      <c r="E5" s="59" t="inlineStr">
        <is>
          <t>Quarterly</t>
        </is>
      </c>
      <c r="F5" s="59" t="inlineStr">
        <is>
          <t>Calgary-based arts organizations. Society registration required.</t>
        </is>
      </c>
      <c r="G5" s="59" t="inlineStr">
        <is>
          <t>⬜ Research</t>
        </is>
      </c>
      <c r="H5" s="59" t="inlineStr">
        <is>
          <t>calgaryartsdevelopment.com</t>
        </is>
      </c>
      <c r="I5" s="59" t="inlineStr">
        <is>
          <t>Quarterly deadlines — track carefully</t>
        </is>
      </c>
    </row>
    <row r="6" ht="30" customHeight="1" s="42">
      <c r="A6" s="60" t="inlineStr">
        <is>
          <t>Calgary Arts Development</t>
        </is>
      </c>
      <c r="B6" s="60" t="inlineStr">
        <is>
          <t>Operating Grants</t>
        </is>
      </c>
      <c r="C6" s="60" t="inlineStr">
        <is>
          <t>Operating</t>
        </is>
      </c>
      <c r="D6" s="60" t="inlineStr">
        <is>
          <t>Varies</t>
        </is>
      </c>
      <c r="E6" s="60" t="inlineStr">
        <is>
          <t>Annual</t>
        </is>
      </c>
      <c r="F6" s="60" t="inlineStr">
        <is>
          <t>Established orgs with 2+ years history</t>
        </is>
      </c>
      <c r="G6" s="60" t="inlineStr">
        <is>
          <t>⬜ Future</t>
        </is>
      </c>
      <c r="H6" s="60" t="inlineStr">
        <is>
          <t>calgaryartsdevelopment.com</t>
        </is>
      </c>
      <c r="I6" s="60" t="inlineStr">
        <is>
          <t>Year 2 target</t>
        </is>
      </c>
    </row>
    <row r="7" ht="30" customHeight="1" s="42">
      <c r="A7" s="59" t="inlineStr">
        <is>
          <t>Canada Council for the Arts</t>
        </is>
      </c>
      <c r="B7" s="59" t="inlineStr">
        <is>
          <t>Explore &amp; Create</t>
        </is>
      </c>
      <c r="C7" s="59" t="inlineStr">
        <is>
          <t>Project</t>
        </is>
      </c>
      <c r="D7" s="59" t="inlineStr">
        <is>
          <t>$60,000</t>
        </is>
      </c>
      <c r="E7" s="59" t="inlineStr">
        <is>
          <t>Rolling</t>
        </is>
      </c>
      <c r="F7" s="59" t="inlineStr">
        <is>
          <t>Canadian artists and organizations. Registered status required.</t>
        </is>
      </c>
      <c r="G7" s="59" t="inlineStr">
        <is>
          <t>⬜ Research</t>
        </is>
      </c>
      <c r="H7" s="59" t="inlineStr">
        <is>
          <t>canadacouncil.ca</t>
        </is>
      </c>
      <c r="I7" s="59" t="inlineStr">
        <is>
          <t>Largest federal funder; confirm eligibility requirements</t>
        </is>
      </c>
    </row>
    <row r="8" ht="30" customHeight="1" s="42">
      <c r="A8" s="60" t="inlineStr">
        <is>
          <t>Canada Council for the Arts</t>
        </is>
      </c>
      <c r="B8" s="60" t="inlineStr">
        <is>
          <t>Arts Organizations Fund</t>
        </is>
      </c>
      <c r="C8" s="60" t="inlineStr">
        <is>
          <t>Operating</t>
        </is>
      </c>
      <c r="D8" s="60" t="inlineStr">
        <is>
          <t>Varies</t>
        </is>
      </c>
      <c r="E8" s="60" t="inlineStr">
        <is>
          <t>Annual</t>
        </is>
      </c>
      <c r="F8" s="60" t="inlineStr">
        <is>
          <t>Mid-size organizations with established track record</t>
        </is>
      </c>
      <c r="G8" s="60" t="inlineStr">
        <is>
          <t>⬜ Future</t>
        </is>
      </c>
      <c r="H8" s="60" t="inlineStr">
        <is>
          <t>canadacouncil.ca</t>
        </is>
      </c>
      <c r="I8" s="60" t="inlineStr">
        <is>
          <t>Year 3+ target</t>
        </is>
      </c>
    </row>
    <row r="9" ht="30" customHeight="1" s="42">
      <c r="A9" s="59" t="inlineStr">
        <is>
          <t>Calgary Foundation</t>
        </is>
      </c>
      <c r="B9" s="59" t="inlineStr">
        <is>
          <t>Community Grants</t>
        </is>
      </c>
      <c r="C9" s="59" t="inlineStr">
        <is>
          <t>Project</t>
        </is>
      </c>
      <c r="D9" s="59" t="inlineStr">
        <is>
          <t>$10,000</t>
        </is>
      </c>
      <c r="E9" s="59" t="inlineStr">
        <is>
          <t>Annual — check site</t>
        </is>
      </c>
      <c r="F9" s="59" t="inlineStr">
        <is>
          <t>Calgary non-profit organizations</t>
        </is>
      </c>
      <c r="G9" s="59" t="inlineStr">
        <is>
          <t>⬜ Research</t>
        </is>
      </c>
      <c r="H9" s="59" t="inlineStr">
        <is>
          <t>calgaryfoundation.org</t>
        </is>
      </c>
      <c r="I9" s="59" t="inlineStr">
        <is>
          <t>Good for community programming</t>
        </is>
      </c>
    </row>
    <row r="10" ht="30" customHeight="1" s="42">
      <c r="A10" s="60" t="inlineStr">
        <is>
          <t>Calgary Foundation</t>
        </is>
      </c>
      <c r="B10" s="60" t="inlineStr">
        <is>
          <t>Strategic Initiatives</t>
        </is>
      </c>
      <c r="C10" s="60" t="inlineStr">
        <is>
          <t>Project</t>
        </is>
      </c>
      <c r="D10" s="60" t="inlineStr">
        <is>
          <t>$50,000</t>
        </is>
      </c>
      <c r="E10" s="60" t="inlineStr">
        <is>
          <t>Invitation/Application</t>
        </is>
      </c>
      <c r="F10" s="60" t="inlineStr">
        <is>
          <t>Priority areas: arts, culture, community</t>
        </is>
      </c>
      <c r="G10" s="60" t="inlineStr">
        <is>
          <t>⬜ Research</t>
        </is>
      </c>
      <c r="H10" s="60" t="inlineStr">
        <is>
          <t>calgaryfoundation.org</t>
        </is>
      </c>
      <c r="I10" s="60" t="inlineStr">
        <is>
          <t>Requires relationship building</t>
        </is>
      </c>
    </row>
    <row r="11" ht="30" customHeight="1" s="42">
      <c r="A11" s="59" t="inlineStr">
        <is>
          <t>Heritage Canada / Canadian Heritage</t>
        </is>
      </c>
      <c r="B11" s="59" t="inlineStr">
        <is>
          <t>Arts Presentation Canada</t>
        </is>
      </c>
      <c r="C11" s="59" t="inlineStr">
        <is>
          <t>Project</t>
        </is>
      </c>
      <c r="D11" s="59" t="inlineStr">
        <is>
          <t>$200,000</t>
        </is>
      </c>
      <c r="E11" s="59" t="inlineStr">
        <is>
          <t>Annual — Oct</t>
        </is>
      </c>
      <c r="F11" s="59" t="inlineStr">
        <is>
          <t>Professional arts presenters</t>
        </is>
      </c>
      <c r="G11" s="59" t="inlineStr">
        <is>
          <t>⬜ Research</t>
        </is>
      </c>
      <c r="H11" s="59" t="inlineStr">
        <is>
          <t>canada.ca/en/canadian-heritage</t>
        </is>
      </c>
      <c r="I11" s="59" t="inlineStr">
        <is>
          <t>Large federal program — long-term target</t>
        </is>
      </c>
    </row>
    <row r="12" ht="30" customHeight="1" s="42">
      <c r="A12" s="60" t="inlineStr">
        <is>
          <t>Government of Alberta</t>
        </is>
      </c>
      <c r="B12" s="60" t="inlineStr">
        <is>
          <t>Community Initiatives Program</t>
        </is>
      </c>
      <c r="C12" s="60" t="inlineStr">
        <is>
          <t>Project</t>
        </is>
      </c>
      <c r="D12" s="60" t="inlineStr">
        <is>
          <t>$75,000</t>
        </is>
      </c>
      <c r="E12" s="60" t="inlineStr">
        <is>
          <t>Rolling</t>
        </is>
      </c>
      <c r="F12" s="60" t="inlineStr">
        <is>
          <t>AB non-profits serving communities</t>
        </is>
      </c>
      <c r="G12" s="60" t="inlineStr">
        <is>
          <t>⬜ Research</t>
        </is>
      </c>
      <c r="H12" s="60" t="inlineStr">
        <is>
          <t>alberta.ca</t>
        </is>
      </c>
      <c r="I12" s="60" t="inlineStr">
        <is>
          <t>Broad eligibility; research priority areas</t>
        </is>
      </c>
    </row>
    <row r="13" ht="30" customHeight="1" s="42">
      <c r="A13" s="59" t="inlineStr">
        <is>
          <t>City of Calgary</t>
        </is>
      </c>
      <c r="B13" s="59" t="inlineStr">
        <is>
          <t>Cultural Spaces Support</t>
        </is>
      </c>
      <c r="C13" s="59" t="inlineStr">
        <is>
          <t>Capital</t>
        </is>
      </c>
      <c r="D13" s="59" t="inlineStr">
        <is>
          <t>Varies</t>
        </is>
      </c>
      <c r="E13" s="59" t="inlineStr">
        <is>
          <t>Annual</t>
        </is>
      </c>
      <c r="F13" s="59" t="inlineStr">
        <is>
          <t>Organizations with permanent/semi-permanent space</t>
        </is>
      </c>
      <c r="G13" s="59" t="inlineStr">
        <is>
          <t>⬜ Future</t>
        </is>
      </c>
      <c r="H13" s="59" t="inlineStr">
        <is>
          <t>calgary.ca</t>
        </is>
      </c>
      <c r="I13" s="59" t="inlineStr">
        <is>
          <t>Relevant once venue secured</t>
        </is>
      </c>
    </row>
    <row r="14" ht="30" customHeight="1" s="42">
      <c r="A14" s="60" t="inlineStr">
        <is>
          <t>RBC Foundation</t>
        </is>
      </c>
      <c r="B14" s="60" t="inlineStr">
        <is>
          <t>RBC Emerging Artists</t>
        </is>
      </c>
      <c r="C14" s="60" t="inlineStr">
        <is>
          <t>Project</t>
        </is>
      </c>
      <c r="D14" s="60" t="inlineStr">
        <is>
          <t>$10,000</t>
        </is>
      </c>
      <c r="E14" s="60" t="inlineStr">
        <is>
          <t>Annual</t>
        </is>
      </c>
      <c r="F14" s="60" t="inlineStr">
        <is>
          <t>Canadian registered charities supporting emerging artists</t>
        </is>
      </c>
      <c r="G14" s="60" t="inlineStr">
        <is>
          <t>⬜ Research</t>
        </is>
      </c>
      <c r="H14" s="60" t="inlineStr">
        <is>
          <t>rbc.com/community</t>
        </is>
      </c>
      <c r="I14" s="60" t="inlineStr">
        <is>
          <t>Requires CRA charitable status</t>
        </is>
      </c>
    </row>
    <row r="15" ht="30" customHeight="1" s="42">
      <c r="A15" s="59" t="inlineStr">
        <is>
          <t>TD Bank / TD Ready Commitment</t>
        </is>
      </c>
      <c r="B15" s="59" t="inlineStr">
        <is>
          <t>Community Giving</t>
        </is>
      </c>
      <c r="C15" s="59" t="inlineStr">
        <is>
          <t>Project</t>
        </is>
      </c>
      <c r="D15" s="59" t="inlineStr">
        <is>
          <t>$25,000</t>
        </is>
      </c>
      <c r="E15" s="59" t="inlineStr">
        <is>
          <t>Annual</t>
        </is>
      </c>
      <c r="F15" s="59" t="inlineStr">
        <is>
          <t>Canadian registered charities</t>
        </is>
      </c>
      <c r="G15" s="59" t="inlineStr">
        <is>
          <t>⬜ Research</t>
        </is>
      </c>
      <c r="H15" s="59" t="inlineStr">
        <is>
          <t>td.com/community</t>
        </is>
      </c>
      <c r="I15" s="59" t="inlineStr">
        <is>
          <t>Requires CRA charitable status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1" min="1" max="1"/>
    <col width="26" customWidth="1" style="41" min="2" max="2"/>
    <col width="14" customWidth="1" style="41" min="3" max="3"/>
    <col width="18" customWidth="1" style="41" min="4" max="5"/>
    <col width="42" customWidth="1" style="41" min="6" max="6"/>
    <col width="16" customWidth="1" style="41" min="7" max="7"/>
    <col width="30" customWidth="1" style="41" min="8" max="8"/>
    <col width="42" customWidth="1" style="41" min="9" max="9"/>
  </cols>
  <sheetData>
    <row r="1" ht="31.5" customHeight="1" s="42">
      <c r="A1" s="65" t="inlineStr">
        <is>
          <t>GRANT TRACKER — USA (Cross-Border Funding)</t>
        </is>
      </c>
    </row>
    <row r="2" ht="31.5" customHeight="1" s="42">
      <c r="A2" s="66" t="inlineStr">
        <is>
          <t>⚠️  Cross-border funding requires either: (a) CAF America Friends Fund, OR (b) Equivalency Determination letter, OR (c) 'Friends of Artefakt USA' 501(c)(3). See Registration sheet for strategy.</t>
        </is>
      </c>
    </row>
    <row r="3" ht="21.75" customHeight="1" s="42">
      <c r="A3" s="56" t="inlineStr">
        <is>
          <t>Funder</t>
        </is>
      </c>
      <c r="B3" s="56" t="inlineStr">
        <is>
          <t>Program</t>
        </is>
      </c>
      <c r="C3" s="56" t="inlineStr">
        <is>
          <t>Type</t>
        </is>
      </c>
      <c r="D3" s="56" t="inlineStr">
        <is>
          <t>Max Amount</t>
        </is>
      </c>
      <c r="E3" s="56" t="inlineStr">
        <is>
          <t>Deadline</t>
        </is>
      </c>
      <c r="F3" s="56" t="inlineStr">
        <is>
          <t>Eligibility Notes</t>
        </is>
      </c>
      <c r="G3" s="56" t="inlineStr">
        <is>
          <t>Status</t>
        </is>
      </c>
      <c r="H3" s="56" t="inlineStr">
        <is>
          <t>Contact / URL</t>
        </is>
      </c>
      <c r="I3" s="56" t="inlineStr">
        <is>
          <t>Notes</t>
        </is>
      </c>
    </row>
    <row r="4" ht="30" customHeight="1" s="42">
      <c r="A4" s="60" t="inlineStr">
        <is>
          <t>CAF America</t>
        </is>
      </c>
      <c r="B4" s="60" t="inlineStr">
        <is>
          <t>Friends Fund (fiscal sponsor)</t>
        </is>
      </c>
      <c r="C4" s="60" t="inlineStr">
        <is>
          <t>Infrastructure</t>
        </is>
      </c>
      <c r="D4" s="60" t="inlineStr">
        <is>
          <t>$3,500/yr fee</t>
        </is>
      </c>
      <c r="E4" s="60" t="inlineStr">
        <is>
          <t>Rolling</t>
        </is>
      </c>
      <c r="F4" s="60" t="inlineStr">
        <is>
          <t>Immediate option — allows US tax-deductible donations to CA org. Phase 1.</t>
        </is>
      </c>
      <c r="G4" s="60" t="inlineStr">
        <is>
          <t>⬜ Apply Now</t>
        </is>
      </c>
      <c r="H4" s="60" t="inlineStr">
        <is>
          <t>cafamerica.org</t>
        </is>
      </c>
      <c r="I4" s="60" t="inlineStr">
        <is>
          <t>PRIORITY — set up immediately for US donor access</t>
        </is>
      </c>
    </row>
    <row r="5" ht="30" customHeight="1" s="42">
      <c r="A5" s="64" t="inlineStr">
        <is>
          <t>Andy Warhol Foundation</t>
        </is>
      </c>
      <c r="B5" s="64" t="inlineStr">
        <is>
          <t>Arts Project Grants</t>
        </is>
      </c>
      <c r="C5" s="64" t="inlineStr">
        <is>
          <t>Project</t>
        </is>
      </c>
      <c r="D5" s="64" t="inlineStr">
        <is>
          <t>$50,000–$100,000</t>
        </is>
      </c>
      <c r="E5" s="64" t="inlineStr">
        <is>
          <t>Rolling</t>
        </is>
      </c>
      <c r="F5" s="64" t="inlineStr">
        <is>
          <t>Requires 501(c)(3) or fiscal sponsor. Contemporary visual arts focus.</t>
        </is>
      </c>
      <c r="G5" s="64" t="inlineStr">
        <is>
          <t>⬜ Future</t>
        </is>
      </c>
      <c r="H5" s="64" t="inlineStr">
        <is>
          <t>warholfoundation.org</t>
        </is>
      </c>
      <c r="I5" s="64" t="inlineStr">
        <is>
          <t>Excellent fit for Artefakt's arts mandate. Phase 2.</t>
        </is>
      </c>
    </row>
    <row r="6" ht="30" customHeight="1" s="42">
      <c r="A6" s="60" t="inlineStr">
        <is>
          <t>Pollock-Krasner Foundation</t>
        </is>
      </c>
      <c r="B6" s="60" t="inlineStr">
        <is>
          <t>Individual Artist Grants</t>
        </is>
      </c>
      <c r="C6" s="60" t="inlineStr">
        <is>
          <t>Project</t>
        </is>
      </c>
      <c r="D6" s="60" t="inlineStr">
        <is>
          <t>$1,000–$30,000</t>
        </is>
      </c>
      <c r="E6" s="60" t="inlineStr">
        <is>
          <t>Rolling</t>
        </is>
      </c>
      <c r="F6" s="60" t="inlineStr">
        <is>
          <t>Individual artists only — not orgs. But can support artists in Artefakt programs.</t>
        </is>
      </c>
      <c r="G6" s="60" t="inlineStr">
        <is>
          <t>⬜ Research</t>
        </is>
      </c>
      <c r="H6" s="60" t="inlineStr">
        <is>
          <t>pkf.org</t>
        </is>
      </c>
      <c r="I6" s="60" t="inlineStr">
        <is>
          <t>Useful for supporting artists in Artefakt programs</t>
        </is>
      </c>
    </row>
    <row r="7" ht="30" customHeight="1" s="42">
      <c r="A7" s="64" t="inlineStr">
        <is>
          <t>Robert Rauschenberg Foundation</t>
        </is>
      </c>
      <c r="B7" s="64" t="inlineStr">
        <is>
          <t>Artist as Activist</t>
        </is>
      </c>
      <c r="C7" s="64" t="inlineStr">
        <is>
          <t>Project</t>
        </is>
      </c>
      <c r="D7" s="64" t="inlineStr">
        <is>
          <t>$30,000</t>
        </is>
      </c>
      <c r="E7" s="64" t="inlineStr">
        <is>
          <t>Annual — Nov</t>
        </is>
      </c>
      <c r="F7" s="64" t="inlineStr">
        <is>
          <t>Social justice-focused arts. Requires 501(c)(3) or fiscal sponsor.</t>
        </is>
      </c>
      <c r="G7" s="64" t="inlineStr">
        <is>
          <t>⬜ Future</t>
        </is>
      </c>
      <c r="H7" s="64" t="inlineStr">
        <is>
          <t>rauschenbergfoundation.org</t>
        </is>
      </c>
      <c r="I7" s="64" t="inlineStr">
        <is>
          <t>Phase 2 target</t>
        </is>
      </c>
    </row>
    <row r="8" ht="30" customHeight="1" s="42">
      <c r="A8" s="60" t="inlineStr">
        <is>
          <t>National Endowment for the Arts (NEA)</t>
        </is>
      </c>
      <c r="B8" s="60" t="inlineStr">
        <is>
          <t>Grants for Arts Projects</t>
        </is>
      </c>
      <c r="C8" s="60" t="inlineStr">
        <is>
          <t>Project</t>
        </is>
      </c>
      <c r="D8" s="60" t="inlineStr">
        <is>
          <t>$10,000–$100,000</t>
        </is>
      </c>
      <c r="E8" s="60" t="inlineStr">
        <is>
          <t>Annual</t>
        </is>
      </c>
      <c r="F8" s="60" t="inlineStr">
        <is>
          <t>US organizations ONLY — Artefakt CA not eligible. Only via Friends of Artefakt USA.</t>
        </is>
      </c>
      <c r="G8" s="60" t="inlineStr">
        <is>
          <t>⬜ Future (Phase 2)</t>
        </is>
      </c>
      <c r="H8" s="60" t="inlineStr">
        <is>
          <t>arts.gov</t>
        </is>
      </c>
      <c r="I8" s="60" t="inlineStr">
        <is>
          <t>Cannot receive as Canadian org — needs 501(c)(3)</t>
        </is>
      </c>
    </row>
    <row r="9" ht="30" customHeight="1" s="42">
      <c r="A9" s="64" t="inlineStr">
        <is>
          <t>Rockefeller Foundation</t>
        </is>
      </c>
      <c r="B9" s="64" t="inlineStr">
        <is>
          <t>Arts &amp; Culture Initiatives</t>
        </is>
      </c>
      <c r="C9" s="64" t="inlineStr">
        <is>
          <t>Project</t>
        </is>
      </c>
      <c r="D9" s="64" t="inlineStr">
        <is>
          <t>$100,000+</t>
        </is>
      </c>
      <c r="E9" s="64" t="inlineStr">
        <is>
          <t>By invitation</t>
        </is>
      </c>
      <c r="F9" s="64" t="inlineStr">
        <is>
          <t>Major foundations; relationship required. Equivalency Determination needed.</t>
        </is>
      </c>
      <c r="G9" s="64" t="inlineStr">
        <is>
          <t>⬜ Future</t>
        </is>
      </c>
      <c r="H9" s="64" t="inlineStr">
        <is>
          <t>rockefellerfoundation.org</t>
        </is>
      </c>
      <c r="I9" s="64" t="inlineStr">
        <is>
          <t>Build relationships first; long-term target</t>
        </is>
      </c>
    </row>
    <row r="10" ht="30" customHeight="1" s="42">
      <c r="A10" s="60" t="inlineStr">
        <is>
          <t>MacArthur Foundation</t>
        </is>
      </c>
      <c r="B10" s="60" t="inlineStr">
        <is>
          <t>Arts &amp; Culture</t>
        </is>
      </c>
      <c r="C10" s="60" t="inlineStr">
        <is>
          <t>Project</t>
        </is>
      </c>
      <c r="D10" s="60" t="inlineStr">
        <is>
          <t>$50,000–$500,000</t>
        </is>
      </c>
      <c r="E10" s="60" t="inlineStr">
        <is>
          <t>By invitation</t>
        </is>
      </c>
      <c r="F10" s="60" t="inlineStr">
        <is>
          <t>Invitation only; equivalency determination or 501(c)(3) required.</t>
        </is>
      </c>
      <c r="G10" s="60" t="inlineStr">
        <is>
          <t>⬜ Future</t>
        </is>
      </c>
      <c r="H10" s="60" t="inlineStr">
        <is>
          <t>macfound.org</t>
        </is>
      </c>
      <c r="I10" s="60" t="inlineStr">
        <is>
          <t>Invitation only — build profile first</t>
        </is>
      </c>
    </row>
    <row r="11" ht="30" customHeight="1" s="42">
      <c r="A11" s="64" t="inlineStr">
        <is>
          <t>Ford Foundation</t>
        </is>
      </c>
      <c r="B11" s="64" t="inlineStr">
        <is>
          <t>Creativity &amp; Free Expression</t>
        </is>
      </c>
      <c r="C11" s="64" t="inlineStr">
        <is>
          <t>Project</t>
        </is>
      </c>
      <c r="D11" s="64" t="inlineStr">
        <is>
          <t>$100,000+</t>
        </is>
      </c>
      <c r="E11" s="64" t="inlineStr">
        <is>
          <t>By invitation</t>
        </is>
      </c>
      <c r="F11" s="64" t="inlineStr">
        <is>
          <t>Focus on artists from marginalized communities. Equivalency Det. accepted.</t>
        </is>
      </c>
      <c r="G11" s="64" t="inlineStr">
        <is>
          <t>⬜ Future</t>
        </is>
      </c>
      <c r="H11" s="64" t="inlineStr">
        <is>
          <t>fordfoundation.org</t>
        </is>
      </c>
      <c r="I11" s="64" t="inlineStr">
        <is>
          <t>Long-term relationship target</t>
        </is>
      </c>
    </row>
    <row r="12" ht="30" customHeight="1" s="42">
      <c r="A12" s="60" t="inlineStr">
        <is>
          <t>Knight Foundation</t>
        </is>
      </c>
      <c r="B12" s="60" t="inlineStr">
        <is>
          <t>Arts</t>
        </is>
      </c>
      <c r="C12" s="60" t="inlineStr">
        <is>
          <t>Project</t>
        </is>
      </c>
      <c r="D12" s="60" t="inlineStr">
        <is>
          <t>$25,000–$500,000</t>
        </is>
      </c>
      <c r="E12" s="60" t="inlineStr">
        <is>
          <t>Open calls announced</t>
        </is>
      </c>
      <c r="F12" s="60" t="inlineStr">
        <is>
          <t>Community arts, journalism, arts innovation. Fiscal sponsor accepted.</t>
        </is>
      </c>
      <c r="G12" s="60" t="inlineStr">
        <is>
          <t>⬜ Research</t>
        </is>
      </c>
      <c r="H12" s="60" t="inlineStr">
        <is>
          <t>knightfoundation.org</t>
        </is>
      </c>
      <c r="I12" s="60" t="inlineStr">
        <is>
          <t>Watch for open calls; geographic focus on Knight cities</t>
        </is>
      </c>
    </row>
    <row r="13" ht="30" customHeight="1" s="42">
      <c r="A13" s="64" t="inlineStr">
        <is>
          <t>Bloomberg Philanthropies</t>
        </is>
      </c>
      <c r="B13" s="64" t="inlineStr">
        <is>
          <t>Arts Innovation &amp; Management</t>
        </is>
      </c>
      <c r="C13" s="64" t="inlineStr">
        <is>
          <t>Project</t>
        </is>
      </c>
      <c r="D13" s="64" t="inlineStr">
        <is>
          <t>Varies</t>
        </is>
      </c>
      <c r="E13" s="64" t="inlineStr">
        <is>
          <t>Rolling</t>
        </is>
      </c>
      <c r="F13" s="64" t="inlineStr">
        <is>
          <t>Strengthening arts organizations. Fiscal sponsor accepted.</t>
        </is>
      </c>
      <c r="G13" s="64" t="inlineStr">
        <is>
          <t>⬜ Research</t>
        </is>
      </c>
      <c r="H13" s="64" t="inlineStr">
        <is>
          <t>bloomberg.org/arts</t>
        </is>
      </c>
      <c r="I13" s="64" t="inlineStr">
        <is>
          <t>Management/capacity building focus</t>
        </is>
      </c>
    </row>
    <row r="14" ht="30" customHeight="1" s="42">
      <c r="A14" s="60" t="inlineStr">
        <is>
          <t>Surdna Foundation</t>
        </is>
      </c>
      <c r="B14" s="60" t="inlineStr">
        <is>
          <t>Strong Local Economies via Arts</t>
        </is>
      </c>
      <c r="C14" s="60" t="inlineStr">
        <is>
          <t>Project</t>
        </is>
      </c>
      <c r="D14" s="60" t="inlineStr">
        <is>
          <t>$100,000+</t>
        </is>
      </c>
      <c r="E14" s="60" t="inlineStr">
        <is>
          <t>By invitation</t>
        </is>
      </c>
      <c r="F14" s="60" t="inlineStr">
        <is>
          <t>Arts and economic development. Fiscal sponsor or 501(c)(3).</t>
        </is>
      </c>
      <c r="G14" s="60" t="inlineStr">
        <is>
          <t>⬜ Future</t>
        </is>
      </c>
      <c r="H14" s="60" t="inlineStr">
        <is>
          <t>surdna.org</t>
        </is>
      </c>
      <c r="I14" s="60" t="inlineStr">
        <is>
          <t>Invitation only; long-term</t>
        </is>
      </c>
    </row>
    <row r="15" ht="30" customHeight="1" s="42">
      <c r="A15" s="64" t="inlineStr">
        <is>
          <t>Mellon Foundation</t>
        </is>
      </c>
      <c r="B15" s="64" t="inlineStr">
        <is>
          <t>Arts &amp; Culture / Opportunity Fund</t>
        </is>
      </c>
      <c r="C15" s="64" t="inlineStr">
        <is>
          <t>Project</t>
        </is>
      </c>
      <c r="D15" s="64" t="inlineStr">
        <is>
          <t>$50,000–$200,000</t>
        </is>
      </c>
      <c r="E15" s="64" t="inlineStr">
        <is>
          <t>Rolling / By inv.</t>
        </is>
      </c>
      <c r="F15" s="64" t="inlineStr">
        <is>
          <t>Major funder of arts sector. Equivalency Determination accepted.</t>
        </is>
      </c>
      <c r="G15" s="64" t="inlineStr">
        <is>
          <t>⬜ Future</t>
        </is>
      </c>
      <c r="H15" s="64" t="inlineStr">
        <is>
          <t>mellon.org</t>
        </is>
      </c>
      <c r="I15" s="64" t="inlineStr">
        <is>
          <t>Apply after Equivalency Determination secured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1" min="1" max="1"/>
    <col width="16" customWidth="1" style="41" min="2" max="2"/>
    <col width="20" customWidth="1" style="41" min="3" max="3"/>
    <col width="22" customWidth="1" style="41" min="4" max="4"/>
    <col width="26" customWidth="1" style="41" min="5" max="5"/>
    <col width="16" customWidth="1" style="41" min="6" max="6"/>
    <col width="14" customWidth="1" style="41" min="7" max="7"/>
    <col width="38" customWidth="1" style="41" min="8" max="8"/>
  </cols>
  <sheetData>
    <row r="1" ht="31.5" customHeight="1" s="42">
      <c r="A1" s="61" t="inlineStr">
        <is>
          <t>PROGRAMMING CALENDAR &amp; EVENT TRACKER</t>
        </is>
      </c>
    </row>
    <row r="2" ht="21.75" customHeight="1" s="42">
      <c r="A2" s="56" t="inlineStr">
        <is>
          <t>Event / Program</t>
        </is>
      </c>
      <c r="B2" s="56" t="inlineStr">
        <is>
          <t>Type</t>
        </is>
      </c>
      <c r="C2" s="56" t="inlineStr">
        <is>
          <t>Date</t>
        </is>
      </c>
      <c r="D2" s="56" t="inlineStr">
        <is>
          <t>Venue</t>
        </is>
      </c>
      <c r="E2" s="56" t="inlineStr">
        <is>
          <t>Artists / Collaborators</t>
        </is>
      </c>
      <c r="F2" s="56" t="inlineStr">
        <is>
          <t>Status</t>
        </is>
      </c>
      <c r="G2" s="56" t="inlineStr">
        <is>
          <t>Budget (CAD)</t>
        </is>
      </c>
      <c r="H2" s="56" t="inlineStr">
        <is>
          <t>Notes</t>
        </is>
      </c>
    </row>
    <row r="3" ht="25.5" customHeight="1" s="42">
      <c r="A3" s="59" t="inlineStr">
        <is>
          <t>Founding Exhibition</t>
        </is>
      </c>
      <c r="B3" s="59" t="inlineStr">
        <is>
          <t>Exhibition</t>
        </is>
      </c>
      <c r="C3" s="59" t="inlineStr">
        <is>
          <t>TBD — Fall 2026</t>
        </is>
      </c>
      <c r="D3" s="59" t="inlineStr">
        <is>
          <t>TBD</t>
        </is>
      </c>
      <c r="E3" s="59" t="inlineStr">
        <is>
          <t>TBD</t>
        </is>
      </c>
      <c r="F3" s="59" t="inlineStr">
        <is>
          <t>⬜ Planning</t>
        </is>
      </c>
      <c r="G3" s="59" t="inlineStr">
        <is>
          <t>$5,000</t>
        </is>
      </c>
      <c r="H3" s="59" t="inlineStr">
        <is>
          <t>First public-facing event; mark Artefakt's launch</t>
        </is>
      </c>
    </row>
    <row r="4" ht="25.5" customHeight="1" s="42">
      <c r="A4" s="60" t="inlineStr">
        <is>
          <t>Artist Workshop Series</t>
        </is>
      </c>
      <c r="B4" s="60" t="inlineStr">
        <is>
          <t>Workshop</t>
        </is>
      </c>
      <c r="C4" s="60" t="inlineStr">
        <is>
          <t>TBD — 2026</t>
        </is>
      </c>
      <c r="D4" s="60" t="inlineStr">
        <is>
          <t>TBD</t>
        </is>
      </c>
      <c r="E4" s="60" t="inlineStr">
        <is>
          <t>TBD</t>
        </is>
      </c>
      <c r="F4" s="60" t="inlineStr">
        <is>
          <t>⬜ Planning</t>
        </is>
      </c>
      <c r="G4" s="60" t="inlineStr">
        <is>
          <t>$2,000</t>
        </is>
      </c>
      <c r="H4" s="60" t="inlineStr">
        <is>
          <t>Community arts education component</t>
        </is>
      </c>
    </row>
    <row r="5" ht="25.5" customHeight="1" s="42">
      <c r="A5" s="59" t="inlineStr">
        <is>
          <t>Artefakt Launch Event</t>
        </is>
      </c>
      <c r="B5" s="59" t="inlineStr">
        <is>
          <t>Opening / Reception</t>
        </is>
      </c>
      <c r="C5" s="59" t="inlineStr">
        <is>
          <t>TBD — 2026</t>
        </is>
      </c>
      <c r="D5" s="59" t="inlineStr">
        <is>
          <t>TBD</t>
        </is>
      </c>
      <c r="E5" s="59" t="inlineStr">
        <is>
          <t>TBD</t>
        </is>
      </c>
      <c r="F5" s="59" t="inlineStr">
        <is>
          <t>⬜ Planning</t>
        </is>
      </c>
      <c r="G5" s="59" t="inlineStr">
        <is>
          <t>$3,000</t>
        </is>
      </c>
      <c r="H5" s="59" t="inlineStr">
        <is>
          <t>Official society launch — invite media, funders, artists</t>
        </is>
      </c>
    </row>
    <row r="6" ht="25.5" customHeight="1" s="42">
      <c r="A6" s="60" t="inlineStr">
        <is>
          <t>Add event here...</t>
        </is>
      </c>
      <c r="B6" s="60" t="n"/>
      <c r="C6" s="60" t="n"/>
      <c r="D6" s="60" t="n"/>
      <c r="E6" s="60" t="n"/>
      <c r="F6" s="60" t="n"/>
      <c r="G6" s="60" t="n"/>
      <c r="H6" s="60" t="n"/>
    </row>
    <row r="7" ht="25.5" customHeight="1" s="42">
      <c r="A7" s="59" t="inlineStr">
        <is>
          <t>Add event here...</t>
        </is>
      </c>
      <c r="B7" s="59" t="n"/>
      <c r="C7" s="59" t="n"/>
      <c r="D7" s="59" t="n"/>
      <c r="E7" s="59" t="n"/>
      <c r="F7" s="59" t="n"/>
      <c r="G7" s="59" t="n"/>
      <c r="H7" s="59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1" min="1" max="2"/>
    <col width="26" customWidth="1" style="41" min="3" max="3"/>
    <col width="28" customWidth="1" style="41" min="4" max="4"/>
    <col width="16" customWidth="1" style="41" min="5" max="6"/>
    <col width="38" customWidth="1" style="41" min="7" max="7"/>
  </cols>
  <sheetData>
    <row r="1" ht="31.5" customHeight="1" s="42">
      <c r="A1" s="61" t="inlineStr">
        <is>
          <t>CONTACTS DATABASE — ARTEFAKT</t>
        </is>
      </c>
    </row>
    <row r="2" ht="21.75" customHeight="1" s="42">
      <c r="A2" s="56" t="inlineStr">
        <is>
          <t>Name</t>
        </is>
      </c>
      <c r="B2" s="56" t="inlineStr">
        <is>
          <t>Organization</t>
        </is>
      </c>
      <c r="C2" s="56" t="inlineStr">
        <is>
          <t>Role / Relationship</t>
        </is>
      </c>
      <c r="D2" s="56" t="inlineStr">
        <is>
          <t>Email</t>
        </is>
      </c>
      <c r="E2" s="56" t="inlineStr">
        <is>
          <t>Phone</t>
        </is>
      </c>
      <c r="F2" s="56" t="inlineStr">
        <is>
          <t>Category</t>
        </is>
      </c>
      <c r="G2" s="56" t="inlineStr">
        <is>
          <t>Notes</t>
        </is>
      </c>
    </row>
    <row r="3" ht="24" customHeight="1" s="42">
      <c r="A3" s="59" t="inlineStr">
        <is>
          <t>Alberta Corporate Registry</t>
        </is>
      </c>
      <c r="B3" s="59" t="inlineStr">
        <is>
          <t>Government of Alberta</t>
        </is>
      </c>
      <c r="C3" s="59" t="inlineStr">
        <is>
          <t>Society Registration</t>
        </is>
      </c>
      <c r="D3" s="59" t="inlineStr">
        <is>
          <t>cr@gov.ab.ca</t>
        </is>
      </c>
      <c r="E3" s="59" t="inlineStr">
        <is>
          <t>780-427-7013</t>
        </is>
      </c>
      <c r="F3" s="59" t="inlineStr">
        <is>
          <t>Government</t>
        </is>
      </c>
      <c r="G3" s="59" t="inlineStr">
        <is>
          <t>Main contact for society registration</t>
        </is>
      </c>
    </row>
    <row r="4" ht="24" customHeight="1" s="42">
      <c r="A4" s="60" t="inlineStr">
        <is>
          <t>Alberta Foundation for the Arts</t>
        </is>
      </c>
      <c r="B4" s="60" t="inlineStr">
        <is>
          <t>AFA</t>
        </is>
      </c>
      <c r="C4" s="60" t="inlineStr">
        <is>
          <t>Grant Funder</t>
        </is>
      </c>
      <c r="D4" s="60" t="n"/>
      <c r="E4" s="60" t="n"/>
      <c r="F4" s="60" t="inlineStr">
        <is>
          <t>Funder (CA)</t>
        </is>
      </c>
      <c r="G4" s="60" t="inlineStr">
        <is>
          <t>affta.ab.ca — primary AB arts funder</t>
        </is>
      </c>
    </row>
    <row r="5" ht="24" customHeight="1" s="42">
      <c r="A5" s="59" t="inlineStr">
        <is>
          <t>Calgary Arts Development</t>
        </is>
      </c>
      <c r="B5" s="59" t="inlineStr">
        <is>
          <t>CADA</t>
        </is>
      </c>
      <c r="C5" s="59" t="inlineStr">
        <is>
          <t>Grant Funder / Partner</t>
        </is>
      </c>
      <c r="D5" s="59" t="n"/>
      <c r="E5" s="59" t="n"/>
      <c r="F5" s="59" t="inlineStr">
        <is>
          <t>Funder (CA)</t>
        </is>
      </c>
      <c r="G5" s="59" t="inlineStr">
        <is>
          <t>calgaryartsdevelopment.com — quarterly grants</t>
        </is>
      </c>
    </row>
    <row r="6" ht="24" customHeight="1" s="42">
      <c r="A6" s="60" t="inlineStr">
        <is>
          <t>Canada Council for the Arts</t>
        </is>
      </c>
      <c r="B6" s="60" t="inlineStr">
        <is>
          <t>CCA</t>
        </is>
      </c>
      <c r="C6" s="60" t="inlineStr">
        <is>
          <t>Grant Funder</t>
        </is>
      </c>
      <c r="D6" s="60" t="n"/>
      <c r="E6" s="60" t="n"/>
      <c r="F6" s="60" t="inlineStr">
        <is>
          <t>Funder (CA)</t>
        </is>
      </c>
      <c r="G6" s="60" t="inlineStr">
        <is>
          <t>canadacouncil.ca — federal arts funder</t>
        </is>
      </c>
    </row>
    <row r="7" ht="24" customHeight="1" s="42">
      <c r="A7" s="59" t="inlineStr">
        <is>
          <t>Calgary Foundation</t>
        </is>
      </c>
      <c r="B7" s="59" t="inlineStr">
        <is>
          <t>Calgary Foundation</t>
        </is>
      </c>
      <c r="C7" s="59" t="inlineStr">
        <is>
          <t>Grant Funder</t>
        </is>
      </c>
      <c r="D7" s="59" t="n"/>
      <c r="E7" s="59" t="n"/>
      <c r="F7" s="59" t="inlineStr">
        <is>
          <t>Funder (CA)</t>
        </is>
      </c>
      <c r="G7" s="59" t="inlineStr">
        <is>
          <t>calgaryfoundation.org</t>
        </is>
      </c>
    </row>
    <row r="8" ht="24" customHeight="1" s="42">
      <c r="A8" s="60" t="inlineStr">
        <is>
          <t>CAF America</t>
        </is>
      </c>
      <c r="B8" s="60" t="inlineStr">
        <is>
          <t>CAF America</t>
        </is>
      </c>
      <c r="C8" s="60" t="inlineStr">
        <is>
          <t>US Fiscal Sponsor / Friends Fund</t>
        </is>
      </c>
      <c r="D8" s="60" t="n"/>
      <c r="E8" s="60" t="n"/>
      <c r="F8" s="60" t="inlineStr">
        <is>
          <t>Funder (USA)</t>
        </is>
      </c>
      <c r="G8" s="60" t="inlineStr">
        <is>
          <t>cafamerica.org — Phase 1 cross-border fundraising</t>
        </is>
      </c>
    </row>
    <row r="9" ht="24" customHeight="1" s="42">
      <c r="A9" s="59" t="inlineStr">
        <is>
          <t>Board Leadership Calgary</t>
        </is>
      </c>
      <c r="B9" s="59" t="inlineStr">
        <is>
          <t>BLC</t>
        </is>
      </c>
      <c r="C9" s="59" t="inlineStr">
        <is>
          <t>Board Recruitment Resource</t>
        </is>
      </c>
      <c r="D9" s="59" t="n"/>
      <c r="E9" s="59" t="n"/>
      <c r="F9" s="59" t="inlineStr">
        <is>
          <t>Resource</t>
        </is>
      </c>
      <c r="G9" s="59" t="inlineStr">
        <is>
          <t>boardleadershipcalgary.ca — find board members</t>
        </is>
      </c>
    </row>
    <row r="10" ht="24" customHeight="1" s="42">
      <c r="A10" s="60" t="inlineStr">
        <is>
          <t>Add contact...</t>
        </is>
      </c>
      <c r="B10" s="60" t="n"/>
      <c r="C10" s="60" t="n"/>
      <c r="D10" s="60" t="n"/>
      <c r="E10" s="60" t="n"/>
      <c r="F10" s="60" t="n"/>
      <c r="G10" s="60" t="n"/>
    </row>
    <row r="11" ht="24" customHeight="1" s="42">
      <c r="A11" s="59" t="inlineStr">
        <is>
          <t>Add contact...</t>
        </is>
      </c>
      <c r="B11" s="59" t="n"/>
      <c r="C11" s="59" t="n"/>
      <c r="D11" s="59" t="n"/>
      <c r="E11" s="59" t="n"/>
      <c r="F11" s="59" t="n"/>
      <c r="G11" s="59" t="n"/>
    </row>
    <row r="12" ht="24" customHeight="1" s="42">
      <c r="A12" s="60" t="inlineStr">
        <is>
          <t>Add contact...</t>
        </is>
      </c>
      <c r="B12" s="60" t="n"/>
      <c r="C12" s="60" t="n"/>
      <c r="D12" s="60" t="n"/>
      <c r="E12" s="60" t="n"/>
      <c r="F12" s="60" t="n"/>
      <c r="G12" s="60" t="n"/>
    </row>
    <row r="14" ht="24" customHeight="1" s="42">
      <c r="A14" s="67" t="inlineStr">
        <is>
          <t>🏛️  FOUNDING BOARD MEMBERS</t>
        </is>
      </c>
    </row>
    <row r="15" ht="24" customHeight="1" s="42">
      <c r="A15" s="68" t="inlineStr">
        <is>
          <t>Jon Lowenstein</t>
        </is>
      </c>
      <c r="B15" s="68" t="inlineStr">
        <is>
          <t>Artefakt</t>
        </is>
      </c>
      <c r="C15" s="68" t="inlineStr">
        <is>
          <t>Founder / President (proposed)</t>
        </is>
      </c>
      <c r="D15" s="68" t="inlineStr">
        <is>
          <t>jon@futurelegacy.io</t>
        </is>
      </c>
      <c r="E15" s="68" t="inlineStr"/>
      <c r="F15" s="68" t="inlineStr">
        <is>
          <t>Board — Founding</t>
        </is>
      </c>
      <c r="G15" s="68" t="inlineStr">
        <is>
          <t>Founder; confirms name on registration docs</t>
        </is>
      </c>
    </row>
    <row r="16" ht="24" customHeight="1" s="42">
      <c r="A16" s="69" t="inlineStr">
        <is>
          <t>Ben Heisler</t>
        </is>
      </c>
      <c r="B16" s="69" t="inlineStr"/>
      <c r="C16" s="69" t="inlineStr">
        <is>
          <t>Board Member (proposed)</t>
        </is>
      </c>
      <c r="D16" s="69" t="inlineStr"/>
      <c r="E16" s="69" t="inlineStr"/>
      <c r="F16" s="69" t="inlineStr">
        <is>
          <t>Board — Founding</t>
        </is>
      </c>
      <c r="G16" s="69" t="inlineStr">
        <is>
          <t>Confirm role, contact details, and address for filing</t>
        </is>
      </c>
    </row>
    <row r="17" ht="24" customHeight="1" s="42">
      <c r="A17" s="68" t="inlineStr">
        <is>
          <t>David Christensen</t>
        </is>
      </c>
      <c r="B17" s="68" t="inlineStr"/>
      <c r="C17" s="68" t="inlineStr">
        <is>
          <t>Board Member (proposed)</t>
        </is>
      </c>
      <c r="D17" s="68" t="inlineStr"/>
      <c r="E17" s="68" t="inlineStr"/>
      <c r="F17" s="68" t="inlineStr">
        <is>
          <t>Board — Founding</t>
        </is>
      </c>
      <c r="G17" s="68" t="inlineStr">
        <is>
          <t>Confirm role, contact details, and address for filing</t>
        </is>
      </c>
    </row>
    <row r="18" ht="24" customHeight="1" s="42">
      <c r="A18" s="69" t="inlineStr">
        <is>
          <t>Angela Boehm</t>
        </is>
      </c>
      <c r="B18" s="69" t="inlineStr"/>
      <c r="C18" s="69" t="inlineStr">
        <is>
          <t>Board Member (proposed)</t>
        </is>
      </c>
      <c r="D18" s="69" t="inlineStr"/>
      <c r="E18" s="69" t="inlineStr"/>
      <c r="F18" s="69" t="inlineStr">
        <is>
          <t>Board — Founding</t>
        </is>
      </c>
      <c r="G18" s="69" t="inlineStr">
        <is>
          <t>Confirm role, contact details, and address for filing</t>
        </is>
      </c>
    </row>
    <row r="19" ht="24" customHeight="1" s="42">
      <c r="A19" s="68" t="inlineStr">
        <is>
          <t>Shovik Sengupta</t>
        </is>
      </c>
      <c r="B19" s="68" t="inlineStr"/>
      <c r="C19" s="68" t="inlineStr">
        <is>
          <t>Board Member (proposed)</t>
        </is>
      </c>
      <c r="D19" s="68" t="inlineStr"/>
      <c r="E19" s="68" t="inlineStr"/>
      <c r="F19" s="68" t="inlineStr">
        <is>
          <t>Board — Founding</t>
        </is>
      </c>
      <c r="G19" s="68" t="inlineStr">
        <is>
          <t>Confirm role, contact details, and address for filing</t>
        </is>
      </c>
    </row>
    <row r="20"/>
    <row r="21"/>
    <row r="22" ht="28" customHeight="1" s="42">
      <c r="A22" s="87" t="inlineStr">
        <is>
          <t>LECTURE SERIES — PHOTOGRAPHERS</t>
        </is>
      </c>
    </row>
    <row r="23" ht="18" customHeight="1" s="42">
      <c r="A23" s="88" t="inlineStr">
        <is>
          <t>Name</t>
        </is>
      </c>
      <c r="B23" s="88" t="inlineStr">
        <is>
          <t>Organization</t>
        </is>
      </c>
      <c r="C23" s="88" t="inlineStr">
        <is>
          <t>Role / Relationship</t>
        </is>
      </c>
      <c r="D23" s="88" t="inlineStr">
        <is>
          <t>Email</t>
        </is>
      </c>
      <c r="E23" s="88" t="inlineStr">
        <is>
          <t>Phone</t>
        </is>
      </c>
      <c r="F23" s="88" t="inlineStr">
        <is>
          <t>Category</t>
        </is>
      </c>
      <c r="G23" s="88" t="inlineStr">
        <is>
          <t>Notes</t>
        </is>
      </c>
    </row>
    <row r="24" ht="20" customHeight="1" s="42">
      <c r="A24" s="89" t="inlineStr">
        <is>
          <t>Carlos Ortiz</t>
        </is>
      </c>
      <c r="B24" s="89" t="inlineStr">
        <is>
          <t>Hartford Courant / AP</t>
        </is>
      </c>
      <c r="C24" s="89" t="inlineStr">
        <is>
          <t>Lecture Series — Tier 1 Speaker</t>
        </is>
      </c>
      <c r="D24" s="89" t="inlineStr"/>
      <c r="E24" s="89" t="inlineStr"/>
      <c r="F24" s="89" t="inlineStr">
        <is>
          <t>Photographer</t>
        </is>
      </c>
      <c r="G24" s="89" t="inlineStr">
        <is>
          <t>Close friend/collaborator. Documentary &amp; Breaking News. Pulitzer winner.</t>
        </is>
      </c>
    </row>
    <row r="25" ht="20" customHeight="1" s="42">
      <c r="A25" s="89" t="inlineStr">
        <is>
          <t>Joshua Lott</t>
        </is>
      </c>
      <c r="B25" s="89" t="inlineStr">
        <is>
          <t>Freelance / NYT / TIME / Reuters</t>
        </is>
      </c>
      <c r="C25" s="89" t="inlineStr">
        <is>
          <t>Lecture Series — Tier 1 Speaker</t>
        </is>
      </c>
      <c r="D25" s="89" t="inlineStr"/>
      <c r="E25" s="89" t="inlineStr"/>
      <c r="F25" s="89" t="inlineStr">
        <is>
          <t>Photographer</t>
        </is>
      </c>
      <c r="G25" s="89" t="inlineStr">
        <is>
          <t>Close friend/collaborator. Social documentary, American social justice.</t>
        </is>
      </c>
    </row>
    <row r="26" ht="20" customHeight="1" s="42">
      <c r="A26" s="89" t="inlineStr">
        <is>
          <t>Danny Wilcox Frazier</t>
        </is>
      </c>
      <c r="B26" s="89" t="inlineStr">
        <is>
          <t>VII Photo Agency</t>
        </is>
      </c>
      <c r="C26" s="89" t="inlineStr">
        <is>
          <t>Lecture Series — Tier 1 Speaker</t>
        </is>
      </c>
      <c r="D26" s="89" t="inlineStr"/>
      <c r="E26" s="89" t="inlineStr"/>
      <c r="F26" s="89" t="inlineStr">
        <is>
          <t>Photographer</t>
        </is>
      </c>
      <c r="G26" s="89" t="inlineStr">
        <is>
          <t>Close friend/collaborator. Long-form documentary, rural America.</t>
        </is>
      </c>
    </row>
    <row r="27" ht="20" customHeight="1" s="42">
      <c r="A27" s="89" t="inlineStr">
        <is>
          <t>David Gutenfelder</t>
        </is>
      </c>
      <c r="B27" s="89" t="inlineStr">
        <is>
          <t>National Geographic / AP</t>
        </is>
      </c>
      <c r="C27" s="89" t="inlineStr">
        <is>
          <t>Lecture Series — Tier 1 Speaker</t>
        </is>
      </c>
      <c r="D27" s="89" t="inlineStr"/>
      <c r="E27" s="89" t="inlineStr"/>
      <c r="F27" s="89" t="inlineStr">
        <is>
          <t>Photographer</t>
        </is>
      </c>
      <c r="G27" s="89" t="inlineStr">
        <is>
          <t>Close friend/collaborator. Intl documentary, North Korea access, Asia.</t>
        </is>
      </c>
    </row>
    <row r="28" ht="20" customHeight="1" s="42">
      <c r="A28" s="89" t="inlineStr">
        <is>
          <t>Andrea Bruce</t>
        </is>
      </c>
      <c r="B28" s="89" t="inlineStr">
        <is>
          <t>VII Photo Agency / Natl Geographic</t>
        </is>
      </c>
      <c r="C28" s="89" t="inlineStr">
        <is>
          <t>Lecture Series — Tier 1 Speaker</t>
        </is>
      </c>
      <c r="D28" s="89" t="inlineStr"/>
      <c r="E28" s="89" t="inlineStr"/>
      <c r="F28" s="89" t="inlineStr">
        <is>
          <t>Photographer</t>
        </is>
      </c>
      <c r="G28" s="89" t="inlineStr">
        <is>
          <t>Close friend/collaborator. Conflict &amp; human rights. World Press Photo.</t>
        </is>
      </c>
    </row>
    <row r="29" ht="20" customHeight="1" s="42">
      <c r="A29" s="89" t="inlineStr">
        <is>
          <t>Nina Alvarez</t>
        </is>
      </c>
      <c r="B29" s="89" t="inlineStr">
        <is>
          <t>TBC</t>
        </is>
      </c>
      <c r="C29" s="89" t="inlineStr">
        <is>
          <t>Lecture Series — Tier 1 Speaker</t>
        </is>
      </c>
      <c r="D29" s="89" t="inlineStr"/>
      <c r="E29" s="89" t="inlineStr"/>
      <c r="F29" s="89" t="inlineStr">
        <is>
          <t>Photographer</t>
        </is>
      </c>
      <c r="G29" s="89" t="inlineStr">
        <is>
          <t>Named by Jon — specialty/affiliation to be confirmed.</t>
        </is>
      </c>
    </row>
    <row r="30" ht="20" customHeight="1" s="42">
      <c r="A30" s="90" t="inlineStr">
        <is>
          <t>Lynsey Addario</t>
        </is>
      </c>
      <c r="B30" s="90" t="inlineStr">
        <is>
          <t>Getty Images / NYT</t>
        </is>
      </c>
      <c r="C30" s="90" t="inlineStr">
        <is>
          <t>Lecture Series — Tier 3 Aspirational</t>
        </is>
      </c>
      <c r="D30" s="90" t="inlineStr"/>
      <c r="E30" s="90" t="inlineStr"/>
      <c r="F30" s="90" t="inlineStr">
        <is>
          <t>Photographer</t>
        </is>
      </c>
      <c r="G30" s="90" t="inlineStr">
        <is>
          <t>Pulitzer winner. Conflict &amp; humanitarian. Aspirational invite.</t>
        </is>
      </c>
    </row>
    <row r="31" ht="20" customHeight="1" s="42">
      <c r="A31" s="90" t="inlineStr">
        <is>
          <t>Ed Kashi</t>
        </is>
      </c>
      <c r="B31" s="90" t="inlineStr">
        <is>
          <t>VII Photo Agency</t>
        </is>
      </c>
      <c r="C31" s="90" t="inlineStr">
        <is>
          <t>Lecture Series — Tier 3 Aspirational</t>
        </is>
      </c>
      <c r="D31" s="90" t="inlineStr"/>
      <c r="E31" s="90" t="inlineStr"/>
      <c r="F31" s="90" t="inlineStr">
        <is>
          <t>Photographer</t>
        </is>
      </c>
      <c r="G31" s="90" t="inlineStr">
        <is>
          <t>Long-form documentary, multimedia storytelling. VII colleague of T1 speakers.</t>
        </is>
      </c>
    </row>
    <row r="32" ht="20" customHeight="1" s="42">
      <c r="A32" s="90" t="inlineStr">
        <is>
          <t>Stephanie Sinclair</t>
        </is>
      </c>
      <c r="B32" s="90" t="inlineStr">
        <is>
          <t>Too Young To Wed / VII</t>
        </is>
      </c>
      <c r="C32" s="90" t="inlineStr">
        <is>
          <t>Lecture Series — Tier 3 Aspirational</t>
        </is>
      </c>
      <c r="D32" s="90" t="inlineStr"/>
      <c r="E32" s="90" t="inlineStr"/>
      <c r="F32" s="90" t="inlineStr">
        <is>
          <t>Photographer</t>
        </is>
      </c>
      <c r="G32" s="90" t="inlineStr">
        <is>
          <t>Humanitarian &amp; social justice. World Press Photo. Thematic fit.</t>
        </is>
      </c>
    </row>
  </sheetData>
  <mergeCells count="3">
    <mergeCell ref="A14:G14"/>
    <mergeCell ref="A22:G2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41" min="1" max="1"/>
    <col width="28" customWidth="1" style="41" min="2" max="2"/>
    <col width="14" customWidth="1" style="41" min="3" max="3"/>
    <col width="18" customWidth="1" style="41" min="4" max="4"/>
    <col width="36" customWidth="1" style="41" min="5" max="5"/>
    <col width="14" customWidth="1" style="41" min="6" max="6"/>
    <col width="10" customWidth="1" style="41" min="7" max="7"/>
    <col width="36" customWidth="1" style="41" min="8" max="8"/>
  </cols>
  <sheetData>
    <row r="1" ht="31.5" customHeight="1" s="42">
      <c r="A1" s="61" t="inlineStr">
        <is>
          <t>FINANCIAL TRACKER — ARTEFAKT</t>
        </is>
      </c>
    </row>
    <row r="2" ht="21.75" customHeight="1" s="42">
      <c r="A2" s="70" t="inlineStr">
        <is>
          <t>INCOME SUMMARY</t>
        </is>
      </c>
      <c r="D2" s="71" t="inlineStr">
        <is>
          <t>EXPENSE SUMMARY</t>
        </is>
      </c>
    </row>
    <row r="3" ht="21.75" customHeight="1" s="42">
      <c r="A3" s="59" t="inlineStr">
        <is>
          <t>Total Grants (CA)</t>
        </is>
      </c>
      <c r="B3" s="72" t="inlineStr">
        <is>
          <t>CAD</t>
        </is>
      </c>
      <c r="C3" s="73">
        <f>SUMIF(A10:A200,"Grant (CA)",C10:C200)</f>
        <v/>
      </c>
      <c r="D3" s="57" t="inlineStr">
        <is>
          <t>Total Grants (USA)</t>
        </is>
      </c>
      <c r="E3" s="74" t="inlineStr">
        <is>
          <t>CAD</t>
        </is>
      </c>
      <c r="F3" s="75">
        <f>SUMIF(A10:A200,"Grant (USA)",C10:C200)</f>
        <v/>
      </c>
    </row>
    <row r="4" ht="21.75" customHeight="1" s="42">
      <c r="A4" s="60" t="inlineStr">
        <is>
          <t>Total Donations (CA)</t>
        </is>
      </c>
      <c r="B4" s="76" t="inlineStr">
        <is>
          <t>CAD</t>
        </is>
      </c>
      <c r="C4" s="77">
        <f>SUMIF(A10:A200,"Donation (CA)",C10:C200)</f>
        <v/>
      </c>
      <c r="D4" s="60" t="inlineStr">
        <is>
          <t>Registration Fees</t>
        </is>
      </c>
      <c r="E4" s="76" t="inlineStr">
        <is>
          <t>CAD</t>
        </is>
      </c>
      <c r="F4" s="77">
        <f>SUMIF(D10:D200,"Registration",F10:F200)</f>
        <v/>
      </c>
    </row>
    <row r="5" ht="21.75" customHeight="1" s="42">
      <c r="A5" s="59" t="inlineStr">
        <is>
          <t>Total Donations (USA)</t>
        </is>
      </c>
      <c r="B5" s="72" t="inlineStr">
        <is>
          <t>CAD</t>
        </is>
      </c>
      <c r="C5" s="73">
        <f>SUMIF(A10:A200,"Donation (USA)",C10:C200)</f>
        <v/>
      </c>
      <c r="D5" s="57" t="inlineStr">
        <is>
          <t>Programming Costs</t>
        </is>
      </c>
      <c r="E5" s="74" t="inlineStr">
        <is>
          <t>CAD</t>
        </is>
      </c>
      <c r="F5" s="75">
        <f>SUMIF(D10:D200,"Programming",F10:F200)</f>
        <v/>
      </c>
    </row>
    <row r="6" ht="21.75" customHeight="1" s="42">
      <c r="A6" s="78" t="inlineStr">
        <is>
          <t>Total Income</t>
        </is>
      </c>
      <c r="B6" s="79" t="inlineStr">
        <is>
          <t>CAD</t>
        </is>
      </c>
      <c r="C6" s="80">
        <f>SUM(C3:C5)</f>
        <v/>
      </c>
      <c r="D6" s="78" t="inlineStr">
        <is>
          <t>Total Expenses</t>
        </is>
      </c>
      <c r="E6" s="79" t="inlineStr">
        <is>
          <t>CAD</t>
        </is>
      </c>
      <c r="F6" s="80">
        <f>SUM(F3:F5)</f>
        <v/>
      </c>
    </row>
    <row r="7" ht="25.5" customHeight="1" s="42">
      <c r="A7" s="81" t="inlineStr">
        <is>
          <t>NET BALANCE</t>
        </is>
      </c>
      <c r="B7" s="50" t="n"/>
      <c r="C7" s="82">
        <f>C6-F6</f>
        <v/>
      </c>
      <c r="D7" s="83" t="inlineStr">
        <is>
          <t>Currency note:</t>
        </is>
      </c>
      <c r="E7" s="50" t="n"/>
      <c r="F7" s="84" t="inlineStr">
        <is>
          <t>All figures in CAD unless noted</t>
        </is>
      </c>
    </row>
    <row r="8" ht="7.5" customHeight="1" s="42"/>
    <row r="9" ht="7.5" customHeight="1" s="42"/>
    <row r="10" ht="21.75" customHeight="1" s="42">
      <c r="A10" s="56" t="inlineStr">
        <is>
          <t>Income Type</t>
        </is>
      </c>
      <c r="B10" s="56" t="inlineStr">
        <is>
          <t>Description</t>
        </is>
      </c>
      <c r="C10" s="56" t="inlineStr">
        <is>
          <t>Amount (CAD)</t>
        </is>
      </c>
      <c r="D10" s="56" t="inlineStr">
        <is>
          <t>Expense Type</t>
        </is>
      </c>
      <c r="E10" s="56" t="inlineStr">
        <is>
          <t>Description</t>
        </is>
      </c>
      <c r="F10" s="56" t="inlineStr">
        <is>
          <t>Amount (CAD)</t>
        </is>
      </c>
      <c r="G10" s="56" t="inlineStr">
        <is>
          <t>Date</t>
        </is>
      </c>
      <c r="H10" s="56" t="inlineStr">
        <is>
          <t>Notes</t>
        </is>
      </c>
    </row>
    <row r="11" ht="24" customHeight="1" s="42">
      <c r="A11" s="59" t="n"/>
      <c r="B11" s="59" t="n"/>
      <c r="C11" s="59" t="n"/>
      <c r="D11" s="59" t="inlineStr">
        <is>
          <t>Registration</t>
        </is>
      </c>
      <c r="E11" s="59" t="inlineStr">
        <is>
          <t>NUANS Name Search Report</t>
        </is>
      </c>
      <c r="F11" s="85" t="n">
        <v>55</v>
      </c>
      <c r="G11" s="59" t="inlineStr">
        <is>
          <t>2026</t>
        </is>
      </c>
      <c r="H11" s="59" t="inlineStr">
        <is>
          <t>Step 1 of registration</t>
        </is>
      </c>
    </row>
    <row r="12" ht="24" customHeight="1" s="42">
      <c r="A12" s="60" t="n"/>
      <c r="B12" s="60" t="n"/>
      <c r="C12" s="60" t="n"/>
      <c r="D12" s="60" t="inlineStr">
        <is>
          <t>Registration</t>
        </is>
      </c>
      <c r="E12" s="60" t="inlineStr">
        <is>
          <t>Name Reservation — Alberta CORES</t>
        </is>
      </c>
      <c r="F12" s="86" t="n">
        <v>30</v>
      </c>
      <c r="G12" s="60" t="inlineStr">
        <is>
          <t>2026</t>
        </is>
      </c>
      <c r="H12" s="60" t="inlineStr">
        <is>
          <t>Step 2 of registration</t>
        </is>
      </c>
    </row>
    <row r="13" ht="24" customHeight="1" s="42">
      <c r="A13" s="59" t="n"/>
      <c r="B13" s="59" t="n"/>
      <c r="C13" s="59" t="n"/>
      <c r="D13" s="59" t="inlineStr">
        <is>
          <t>Registration</t>
        </is>
      </c>
      <c r="E13" s="59" t="inlineStr">
        <is>
          <t>Society Registration Fee — Service Alberta</t>
        </is>
      </c>
      <c r="F13" s="85" t="n">
        <v>50</v>
      </c>
      <c r="G13" s="59" t="inlineStr">
        <is>
          <t>2026</t>
        </is>
      </c>
      <c r="H13" s="59" t="inlineStr">
        <is>
          <t>Step 6 of registration</t>
        </is>
      </c>
    </row>
    <row r="14" ht="24" customHeight="1" s="42">
      <c r="A14" s="60" t="n"/>
      <c r="B14" s="60" t="n"/>
      <c r="C14" s="60" t="n"/>
      <c r="D14" s="60" t="inlineStr">
        <is>
          <t>Admin</t>
        </is>
      </c>
      <c r="E14" s="60" t="inlineStr">
        <is>
          <t>CAF America Friends Fund Setup (Year 1)</t>
        </is>
      </c>
      <c r="F14" s="86" t="n">
        <v>3500</v>
      </c>
      <c r="G14" s="60" t="inlineStr">
        <is>
          <t>2026</t>
        </is>
      </c>
      <c r="H14" s="60" t="inlineStr">
        <is>
          <t>Phase 1 USA cross-border — USD, convert to CAD</t>
        </is>
      </c>
    </row>
    <row r="15" ht="24" customHeight="1" s="42">
      <c r="A15" s="59" t="inlineStr">
        <is>
          <t>Add income...</t>
        </is>
      </c>
      <c r="B15" s="59" t="n"/>
      <c r="C15" s="59" t="n"/>
      <c r="D15" s="59" t="inlineStr">
        <is>
          <t>Add expense...</t>
        </is>
      </c>
      <c r="E15" s="59" t="n"/>
      <c r="F15" s="59" t="n"/>
      <c r="G15" s="59" t="n"/>
      <c r="H15" s="59" t="n"/>
    </row>
  </sheetData>
  <mergeCells count="5">
    <mergeCell ref="D2:F2"/>
    <mergeCell ref="D7:E7"/>
    <mergeCell ref="A7:B7"/>
    <mergeCell ref="A1:F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2026-04-08T02:19:01Z</dcterms:created>
  <dcterms:modified xmlns:dcterms="http://purl.org/dc/terms/" xmlns:xsi="http://www.w3.org/2001/XMLSchema-instance" xsi:type="dcterms:W3CDTF">2026-04-08T03:50:50Z</dcterms:modified>
  <cp:revision>0</cp:revision>
</cp:coreProperties>
</file>